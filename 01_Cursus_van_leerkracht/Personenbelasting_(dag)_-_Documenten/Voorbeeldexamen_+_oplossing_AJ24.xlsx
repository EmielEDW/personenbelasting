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ogent-my.sharepoint.com/personal/elke_deblauwe_hogent_be/Documents/ALLE VAKKEN USB12-10-2020/GA NAAR VAKKEN  ELKE/PERSONENBELASTING PB/PB 2025-2026/"/>
    </mc:Choice>
  </mc:AlternateContent>
  <xr:revisionPtr revIDLastSave="164" documentId="8_{5E03DEA4-823F-48F6-B569-90B1930CCBBF}" xr6:coauthVersionLast="47" xr6:coauthVersionMax="47" xr10:uidLastSave="{1696DB36-4118-4169-90DE-5212EB728F3F}"/>
  <bookViews>
    <workbookView xWindow="-108" yWindow="-108" windowWidth="23256" windowHeight="12456" activeTab="2" xr2:uid="{69C7ED83-7DD5-4F83-B0E3-15421951821A}"/>
  </bookViews>
  <sheets>
    <sheet name="vraag1" sheetId="1" r:id="rId1"/>
    <sheet name="vraag2" sheetId="2" r:id="rId2"/>
    <sheet name="vraag3" sheetId="3" r:id="rId3"/>
    <sheet name="Vraag4" sheetId="4" r:id="rId4"/>
    <sheet name="Vraag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9" i="3" l="1"/>
  <c r="O13" i="3"/>
  <c r="A31" i="3"/>
  <c r="E25" i="3"/>
  <c r="E24" i="3"/>
  <c r="H25" i="3"/>
  <c r="L84" i="2" l="1"/>
  <c r="E65" i="2"/>
  <c r="C82" i="2" s="1"/>
  <c r="E82" i="2" s="1"/>
  <c r="D3" i="2"/>
  <c r="E3" i="2" s="1"/>
  <c r="G15" i="1"/>
  <c r="D30" i="1"/>
  <c r="C29" i="1" s="1"/>
  <c r="O14" i="1"/>
  <c r="S8" i="1"/>
  <c r="M6" i="1"/>
  <c r="M5" i="1"/>
  <c r="R4" i="1"/>
  <c r="K3" i="1"/>
  <c r="A7" i="5"/>
  <c r="A8" i="5" s="1"/>
  <c r="E5" i="5"/>
  <c r="E6" i="5" s="1"/>
  <c r="G41" i="4"/>
  <c r="B36" i="4"/>
  <c r="B25" i="4"/>
  <c r="J18" i="4"/>
  <c r="E12" i="4"/>
  <c r="C3" i="4"/>
  <c r="E9" i="4" s="1"/>
  <c r="C24" i="4" s="1"/>
  <c r="D40" i="3"/>
  <c r="C40" i="3"/>
  <c r="G40" i="3" s="1"/>
  <c r="H12" i="3" s="1"/>
  <c r="C39" i="3"/>
  <c r="F39" i="3" s="1"/>
  <c r="E33" i="3"/>
  <c r="A30" i="3"/>
  <c r="D27" i="3"/>
  <c r="C25" i="3"/>
  <c r="H24" i="3"/>
  <c r="J24" i="3"/>
  <c r="G14" i="3"/>
  <c r="D14" i="3"/>
  <c r="D12" i="3"/>
  <c r="C27" i="3" s="1"/>
  <c r="D11" i="3"/>
  <c r="H11" i="3" s="1"/>
  <c r="G31" i="3" s="1"/>
  <c r="D10" i="3"/>
  <c r="H10" i="3" s="1"/>
  <c r="C83" i="2"/>
  <c r="E83" i="2" s="1"/>
  <c r="I80" i="2"/>
  <c r="G80" i="2"/>
  <c r="E77" i="2"/>
  <c r="L67" i="2"/>
  <c r="G66" i="2"/>
  <c r="B60" i="2"/>
  <c r="E59" i="2"/>
  <c r="E58" i="2"/>
  <c r="E57" i="2"/>
  <c r="B55" i="2"/>
  <c r="A59" i="2" s="1"/>
  <c r="E48" i="2"/>
  <c r="E34" i="2"/>
  <c r="C25" i="2"/>
  <c r="A20" i="2"/>
  <c r="E20" i="2" s="1"/>
  <c r="E21" i="2" s="1"/>
  <c r="C17" i="2"/>
  <c r="C18" i="2" s="1"/>
  <c r="E29" i="1"/>
  <c r="G14" i="1"/>
  <c r="G65" i="2" l="1"/>
  <c r="F41" i="3"/>
  <c r="D16" i="3" s="1"/>
  <c r="A21" i="2"/>
  <c r="C22" i="2" s="1"/>
  <c r="A24" i="2" s="1"/>
  <c r="A25" i="2" s="1"/>
  <c r="C47" i="2" s="1"/>
  <c r="C28" i="1"/>
  <c r="G13" i="1" s="1"/>
  <c r="G20" i="1" s="1"/>
  <c r="D17" i="4"/>
  <c r="D24" i="4"/>
  <c r="G24" i="4" s="1"/>
  <c r="D35" i="4"/>
  <c r="A9" i="5"/>
  <c r="A10" i="5" s="1"/>
  <c r="E10" i="5" s="1"/>
  <c r="E11" i="5" s="1"/>
  <c r="E13" i="5" s="1"/>
  <c r="F15" i="5" s="1"/>
  <c r="C28" i="4"/>
  <c r="G28" i="4" s="1"/>
  <c r="C17" i="4"/>
  <c r="C35" i="4"/>
  <c r="C21" i="4"/>
  <c r="G21" i="4" s="1"/>
  <c r="E27" i="3"/>
  <c r="G30" i="3"/>
  <c r="H27" i="3" s="1"/>
  <c r="E32" i="3"/>
  <c r="E35" i="3" s="1"/>
  <c r="J25" i="3"/>
  <c r="I27" i="3" s="1"/>
  <c r="G35" i="4" l="1"/>
  <c r="G37" i="4" s="1"/>
  <c r="F17" i="4"/>
  <c r="G18" i="4" s="1"/>
  <c r="E47" i="2"/>
  <c r="E49" i="2" s="1"/>
  <c r="E60" i="2" s="1"/>
  <c r="F62" i="2" s="1"/>
  <c r="G63" i="2" s="1"/>
  <c r="E24" i="2"/>
  <c r="E25" i="2" s="1"/>
  <c r="C76" i="2" s="1"/>
  <c r="E76" i="2" s="1"/>
  <c r="E78" i="2" s="1"/>
  <c r="F80" i="2" s="1"/>
  <c r="G81" i="2" s="1"/>
  <c r="L81" i="2" s="1"/>
  <c r="L85" i="2" s="1"/>
  <c r="G30" i="4"/>
  <c r="G32" i="4" s="1"/>
  <c r="G44" i="4" s="1"/>
  <c r="J27" i="3"/>
  <c r="J32" i="3" s="1"/>
  <c r="J35" i="3" s="1"/>
  <c r="E84" i="2" l="1"/>
  <c r="G86" i="2" s="1"/>
  <c r="L63" i="2"/>
  <c r="L69" i="2" s="1"/>
  <c r="G68" i="2"/>
  <c r="G70" i="2" l="1"/>
  <c r="C88" i="2" s="1"/>
  <c r="C89" i="2" l="1"/>
  <c r="C9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Elke De Blauwe</author>
    <author>Eigenaar</author>
  </authors>
  <commentList>
    <comment ref="E65" authorId="0" shapeId="0" xr:uid="{4EBDE5B2-A7C4-4B7F-B0C1-A48D46D69F87}">
      <text>
        <r>
          <rPr>
            <b/>
            <sz val="9"/>
            <color indexed="81"/>
            <rFont val="Tahoma"/>
            <family val="2"/>
          </rPr>
          <t>Elke De Blauwe:</t>
        </r>
        <r>
          <rPr>
            <sz val="9"/>
            <color indexed="81"/>
            <rFont val="Tahoma"/>
            <family val="2"/>
          </rPr>
          <t xml:space="preserve">
15x61
kosten kinderopvang beperkt!
Normaalgezien proportionele verdeling over de echtgenoten volgens hun bijdrage in het inkomen
</t>
        </r>
      </text>
    </comment>
    <comment ref="C82" authorId="1" shapeId="0" xr:uid="{944F04D4-C7DE-4E14-AB92-9F1832D6BCC7}">
      <text>
        <r>
          <rPr>
            <b/>
            <sz val="9"/>
            <color indexed="81"/>
            <rFont val="Tahoma"/>
            <family val="2"/>
          </rPr>
          <t>Eigenaar:</t>
        </r>
        <r>
          <rPr>
            <sz val="9"/>
            <color indexed="81"/>
            <rFont val="Tahoma"/>
            <family val="2"/>
          </rPr>
          <t xml:space="preserve">
915-730,25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Elke De Blauwe</author>
    <author>Eigenaar</author>
  </authors>
  <commentList>
    <comment ref="D12" authorId="0" shapeId="0" xr:uid="{43EAF5F1-67AB-49BB-9774-DB3E6532423B}">
      <text>
        <r>
          <rPr>
            <b/>
            <sz val="9"/>
            <color indexed="81"/>
            <rFont val="Tahoma"/>
            <charset val="1"/>
          </rPr>
          <t>Elke De Blauwe:</t>
        </r>
        <r>
          <rPr>
            <sz val="9"/>
            <color indexed="81"/>
            <rFont val="Tahoma"/>
            <charset val="1"/>
          </rPr>
          <t xml:space="preserve">
1500/2/2*12
</t>
        </r>
      </text>
    </comment>
    <comment ref="A30" authorId="1" shapeId="0" xr:uid="{B47EFF7E-61A9-4752-A33E-D08ECBE0FF44}">
      <text>
        <r>
          <rPr>
            <b/>
            <sz val="9"/>
            <color indexed="81"/>
            <rFont val="Tahoma"/>
            <charset val="1"/>
          </rPr>
          <t>Eigenaar:</t>
        </r>
        <r>
          <rPr>
            <sz val="9"/>
            <color indexed="81"/>
            <rFont val="Tahoma"/>
            <charset val="1"/>
          </rPr>
          <t xml:space="preserve">
4500*40%
</t>
        </r>
      </text>
    </comment>
    <comment ref="E33" authorId="1" shapeId="0" xr:uid="{2DC62C20-BACB-4EAC-8A47-A1050B9BB5FB}">
      <text>
        <r>
          <rPr>
            <b/>
            <sz val="9"/>
            <color indexed="81"/>
            <rFont val="Tahoma"/>
            <family val="2"/>
          </rPr>
          <t>Eigenaar:</t>
        </r>
        <r>
          <rPr>
            <sz val="9"/>
            <color indexed="81"/>
            <rFont val="Tahoma"/>
            <family val="2"/>
          </rPr>
          <t xml:space="preserve">
het is deze gewone intrestaftrek die vanaf 2025 wordt afgeschaft
</t>
        </r>
      </text>
    </comment>
    <comment ref="C39" authorId="0" shapeId="0" xr:uid="{A3F7827D-E40B-4D62-BD97-0E30A3C5E83D}">
      <text>
        <r>
          <rPr>
            <b/>
            <sz val="9"/>
            <color indexed="81"/>
            <rFont val="Tahoma"/>
            <family val="2"/>
          </rPr>
          <t>Elke De Blauwe:</t>
        </r>
        <r>
          <rPr>
            <sz val="9"/>
            <color indexed="81"/>
            <rFont val="Tahoma"/>
            <family val="2"/>
          </rPr>
          <t xml:space="preserve">
=1500/2/2
</t>
        </r>
      </text>
    </comment>
    <comment ref="C40" authorId="0" shapeId="0" xr:uid="{450BF571-B98F-4E52-A9F3-CE50CA8C9906}">
      <text>
        <r>
          <rPr>
            <b/>
            <sz val="9"/>
            <color indexed="81"/>
            <rFont val="Tahoma"/>
            <family val="2"/>
          </rPr>
          <t>Elke De Blauwe:</t>
        </r>
        <r>
          <rPr>
            <sz val="9"/>
            <color indexed="81"/>
            <rFont val="Tahoma"/>
            <family val="2"/>
          </rPr>
          <t xml:space="preserve">
=636/2/2
</t>
        </r>
      </text>
    </comment>
  </commentList>
</comments>
</file>

<file path=xl/sharedStrings.xml><?xml version="1.0" encoding="utf-8"?>
<sst xmlns="http://schemas.openxmlformats.org/spreadsheetml/2006/main" count="315" uniqueCount="280">
  <si>
    <t xml:space="preserve">Deel 1 </t>
  </si>
  <si>
    <t>Vak II</t>
  </si>
  <si>
    <t>Elk een aparte aangifte in jaar van samenwonen!</t>
  </si>
  <si>
    <t>Aangifte</t>
  </si>
  <si>
    <t>MICHELE</t>
  </si>
  <si>
    <t xml:space="preserve">Aangifte </t>
  </si>
  <si>
    <t>SARAH</t>
  </si>
  <si>
    <t>x</t>
  </si>
  <si>
    <t>Deel I</t>
  </si>
  <si>
    <t>Vak III</t>
  </si>
  <si>
    <t>KIEW vrjgesteld</t>
  </si>
  <si>
    <t>Vak IV</t>
  </si>
  <si>
    <t>VVAA firmawagen</t>
  </si>
  <si>
    <t>eigen bijdrage</t>
  </si>
  <si>
    <t>aangeven bij vergoeding woon-werkverkeer</t>
  </si>
  <si>
    <t>loopband</t>
  </si>
  <si>
    <t>internet</t>
  </si>
  <si>
    <t>vergoed WWverkeer</t>
  </si>
  <si>
    <t>vrijstelling</t>
  </si>
  <si>
    <t xml:space="preserve">Vak IX </t>
  </si>
  <si>
    <t>men kan intresten aangeven</t>
  </si>
  <si>
    <t>doch er is geen belastbaar OI</t>
  </si>
  <si>
    <t>CO2%</t>
  </si>
  <si>
    <t>inwonende grootvader ten laste?</t>
  </si>
  <si>
    <t xml:space="preserve">dus </t>
  </si>
  <si>
    <t>-</t>
  </si>
  <si>
    <t>Belastbaar OI</t>
  </si>
  <si>
    <t>man</t>
  </si>
  <si>
    <t>vrouw</t>
  </si>
  <si>
    <t>Samenvatting inkomsten:</t>
  </si>
  <si>
    <t>HQ</t>
  </si>
  <si>
    <t>max:</t>
  </si>
  <si>
    <t>tot kosten</t>
  </si>
  <si>
    <t>Vak IX met optimalisatie</t>
  </si>
  <si>
    <t>woonbonus max op:</t>
  </si>
  <si>
    <t>Vak X</t>
  </si>
  <si>
    <t>kosten kinderopvang:</t>
  </si>
  <si>
    <t>code 1384</t>
  </si>
  <si>
    <t>code 3364</t>
  </si>
  <si>
    <t>maximaal :</t>
  </si>
  <si>
    <t>Berekening belasting gezin:</t>
  </si>
  <si>
    <t>man PB op:</t>
  </si>
  <si>
    <t>BVS</t>
  </si>
  <si>
    <t>2k ten laste</t>
  </si>
  <si>
    <t>*25%</t>
  </si>
  <si>
    <t>*30%</t>
  </si>
  <si>
    <t>*40%</t>
  </si>
  <si>
    <t>autonomiefactor</t>
  </si>
  <si>
    <t>gewestelijke opcentiemen</t>
  </si>
  <si>
    <t>vermind woonbonus</t>
  </si>
  <si>
    <t>à 40%</t>
  </si>
  <si>
    <t>vermind kinderopvang</t>
  </si>
  <si>
    <t>à 45%</t>
  </si>
  <si>
    <t>vermind pensioensparen</t>
  </si>
  <si>
    <t>à 30%</t>
  </si>
  <si>
    <t>dienstencheques</t>
  </si>
  <si>
    <t>à20%</t>
  </si>
  <si>
    <t>B van de man</t>
  </si>
  <si>
    <t xml:space="preserve">NORMAALGEZIEN PROPORTIONELE </t>
  </si>
  <si>
    <t>VERDELING VAN DE KOSTEN KINDEROPVANG!</t>
  </si>
  <si>
    <t>vrouw PB op:</t>
  </si>
  <si>
    <t>gewest opc</t>
  </si>
  <si>
    <t>pensioensparen</t>
  </si>
  <si>
    <t>à40%</t>
  </si>
  <si>
    <t>B van de vrouw</t>
  </si>
  <si>
    <t>(MT! Voor leningen vanaf 1-1-2016: 40%!)</t>
  </si>
  <si>
    <t>vast tarief</t>
  </si>
  <si>
    <t>Afrekening:</t>
  </si>
  <si>
    <t>gem %</t>
  </si>
  <si>
    <t>verr OV</t>
  </si>
  <si>
    <t>afgeschaft indien geen aangifte code 100</t>
  </si>
  <si>
    <t>BV</t>
  </si>
  <si>
    <t>BBSZ</t>
  </si>
  <si>
    <t>tot GBI</t>
  </si>
  <si>
    <t>terug te krijgen</t>
  </si>
  <si>
    <t>3B)</t>
  </si>
  <si>
    <t>(Oef 6 p. 112 Vervoort uitgebreid)</t>
  </si>
  <si>
    <t>Hugo</t>
  </si>
  <si>
    <t>Elke</t>
  </si>
  <si>
    <t>Vak IX</t>
  </si>
  <si>
    <t>optimaal te verdelen</t>
  </si>
  <si>
    <t>Deel II</t>
  </si>
  <si>
    <t>Vak XVI</t>
  </si>
  <si>
    <t>Voor de aangifte van het appartement in Spanje moeten ze dringend een KI</t>
  </si>
  <si>
    <t>aanvragen opdat zij een aangifte kunnen vervolledigen!</t>
  </si>
  <si>
    <t>Belastbaar OI :</t>
  </si>
  <si>
    <t>Hugo:</t>
  </si>
  <si>
    <t>Elke:</t>
  </si>
  <si>
    <t>huurexced</t>
  </si>
  <si>
    <t>kostenforfait:</t>
  </si>
  <si>
    <t>laagste</t>
  </si>
  <si>
    <t>toevallig gelijk</t>
  </si>
  <si>
    <t>intrest</t>
  </si>
  <si>
    <t>meeste bij de man zetten</t>
  </si>
  <si>
    <t>belastbaar OI:</t>
  </si>
  <si>
    <t>risico op herkwalificatie huur bij Elke niet bij Hugo:</t>
  </si>
  <si>
    <t xml:space="preserve">ontvangen huur Elke: </t>
  </si>
  <si>
    <t xml:space="preserve">maximaal OI per zus : </t>
  </si>
  <si>
    <t xml:space="preserve">herkwalificatie als beroepsinkomen : </t>
  </si>
  <si>
    <t>Autokosten</t>
  </si>
  <si>
    <t>Bereken de aftrekbare autokosten in een éénmanszaak met volgende gegevens:</t>
  </si>
  <si>
    <t>totaal aantal km:</t>
  </si>
  <si>
    <t>Aankoop Mercedes in 1-1-2022</t>
  </si>
  <si>
    <t>CO2</t>
  </si>
  <si>
    <t>210g/km</t>
  </si>
  <si>
    <t xml:space="preserve">Gereden km: </t>
  </si>
  <si>
    <t>louter privé:</t>
  </si>
  <si>
    <t>8500 km privé</t>
  </si>
  <si>
    <t>12000 km woonwerk</t>
  </si>
  <si>
    <t>beroeps:</t>
  </si>
  <si>
    <t>69000 km werk-werk</t>
  </si>
  <si>
    <t>woonwerk:</t>
  </si>
  <si>
    <t>Afschrijvingstermijn 5jaar</t>
  </si>
  <si>
    <t>werkwerk</t>
  </si>
  <si>
    <t>Andere autokosten:</t>
  </si>
  <si>
    <t>Verkeersbelasting: €780</t>
  </si>
  <si>
    <t>berekening aftrekbare autokost:</t>
  </si>
  <si>
    <t>AP=</t>
  </si>
  <si>
    <t>Onderhoudscontract: €1300 + BTW</t>
  </si>
  <si>
    <t>BTW=</t>
  </si>
  <si>
    <t>Verzekering: €1250</t>
  </si>
  <si>
    <t>Diesel: €4600 + BTW</t>
  </si>
  <si>
    <t>werk-werk</t>
  </si>
  <si>
    <t>NA BTW</t>
  </si>
  <si>
    <t>beroeps</t>
  </si>
  <si>
    <t>Aftrekpercentage :</t>
  </si>
  <si>
    <t>gramformule NIET!!</t>
  </si>
  <si>
    <t>afschrijving:</t>
  </si>
  <si>
    <t>120%-(0,5%*1*110)</t>
  </si>
  <si>
    <t>5j</t>
  </si>
  <si>
    <t>x20%</t>
  </si>
  <si>
    <t xml:space="preserve">let op CO2 is boven de 200 g/km dus aftrekpercentage is </t>
  </si>
  <si>
    <t>verkeersbelasting</t>
  </si>
  <si>
    <t>onderhoudscontract</t>
  </si>
  <si>
    <t>btw=</t>
  </si>
  <si>
    <t>verzekering</t>
  </si>
  <si>
    <t>totale kosten aan 40%</t>
  </si>
  <si>
    <t>gramformule</t>
  </si>
  <si>
    <t>brandstof</t>
  </si>
  <si>
    <t>woon-werkverkeer:</t>
  </si>
  <si>
    <t>totale aftrekbare kosten:</t>
  </si>
  <si>
    <t>Vraag 5</t>
  </si>
  <si>
    <t>belastbaarheid ?</t>
  </si>
  <si>
    <t>ja want verkoop binnen de 8 jaar! Datum compromis telt</t>
  </si>
  <si>
    <t>datum compromis:</t>
  </si>
  <si>
    <t>makelaarskosten op</t>
  </si>
  <si>
    <t>(!)</t>
  </si>
  <si>
    <t>dus:</t>
  </si>
  <si>
    <t xml:space="preserve">Sarah De Coninck (18.12.1992) en Michele Stevens (10.5.1993), twee vriendinnen wonen al samen sedert 10 maart 2015. In 2023 willen zij een huis aankopen. Daarom zijn zij op 10 januari </t>
  </si>
  <si>
    <t>samen naar het gemeentehuis gegaan en hebben bij de ambtenaar van burgerlijke stand een "verklaring van wettelijk samenwonend"afgelegd.</t>
  </si>
  <si>
    <t>IJ</t>
  </si>
  <si>
    <t>AJ</t>
  </si>
  <si>
    <t xml:space="preserve">Het huis dat ze , elke voor de helft van de prijs aankochten op 1 mei </t>
  </si>
  <si>
    <t>kostte in totaal 250000 euro (kostprijs+registratierechten + notariskosten).</t>
  </si>
  <si>
    <t xml:space="preserve">Vanaf 1 mei </t>
  </si>
  <si>
    <t>is deze woning hun enig en eigen woonhuis. Zij leenden samen via een hypothecaire lening een bedrag van 125000 euro.</t>
  </si>
  <si>
    <t xml:space="preserve">Zij betaalden in </t>
  </si>
  <si>
    <t>al 600 euro kapitaal en 2200 euro intresten terug aan de bank.</t>
  </si>
  <si>
    <t>Sarah is verkoopsdirecteur bij een groothandel in fitnessmateriaal. Zij verdiende in</t>
  </si>
  <si>
    <t>65000 euro.</t>
  </si>
  <si>
    <t>De werkgever hield daarop 19500 euro BV in en 731 euro BBSZ.</t>
  </si>
  <si>
    <t>Zij heeft van de firma een personenwagen ter beschikking gekregen:</t>
  </si>
  <si>
    <t xml:space="preserve">Ford Hybride </t>
  </si>
  <si>
    <t>CO2 uitstoot:</t>
  </si>
  <si>
    <t>105g/km</t>
  </si>
  <si>
    <t>cataloguswaarde:</t>
  </si>
  <si>
    <t>eerste inschrijving DIV op</t>
  </si>
  <si>
    <t>Elke maand betaalt zij hiervoor 35 euro aan haar werkgever.</t>
  </si>
  <si>
    <t xml:space="preserve">Voor haar klantenbezoeken legde zij in </t>
  </si>
  <si>
    <t>km af. Haar onkostenvergoeding bedroeg hiervoor 3500 euro</t>
  </si>
  <si>
    <t xml:space="preserve">Zij heeft de auto ook privé gebruikt voor ongeveer </t>
  </si>
  <si>
    <t xml:space="preserve">km tijdens de weekends, het verlof enz. </t>
  </si>
  <si>
    <t>Zij woont op 18km van de firma en deed met deze auto ook haar woon-werkverplaatsingen (220 werkdagen)</t>
  </si>
  <si>
    <t>De vergoeding voor woon-werk was</t>
  </si>
  <si>
    <t>euro</t>
  </si>
  <si>
    <t>De firma van Michele sloot haar deuren zodat zij werkloos is geworden.</t>
  </si>
  <si>
    <t xml:space="preserve">Haar werkloosheidsuitkering bedraagt 16200 euro. Er werd 1620 euro BV ingehouden. </t>
  </si>
  <si>
    <t>Hiervoor kreeg zij een tussenkomst in de verplaatsingskosten van 180 euro</t>
  </si>
  <si>
    <t>Zij blijft nu thuis en zorgt voor hun dochtertje Nathalie Stevens dat op 14 februari</t>
  </si>
  <si>
    <t>werd geboren.</t>
  </si>
  <si>
    <t>Gevraagd :</t>
  </si>
  <si>
    <t>AANGIFTE : geef PER VAK in volgorde de bedragen in de codes van de aangifte samen met de berekeningswijze.</t>
  </si>
  <si>
    <t>5,5%+(105-82)*0,1%</t>
  </si>
  <si>
    <t>totaal code 1250:</t>
  </si>
  <si>
    <t>Oude opgave:</t>
  </si>
  <si>
    <t xml:space="preserve">Voor IJ </t>
  </si>
  <si>
    <t>-beide echtgenoten doen aan pensioensparen : 990 euro elk</t>
  </si>
  <si>
    <t>-kosten kinderopvang bewezen op een attest : 15euro per dag x 61 dagen</t>
  </si>
  <si>
    <t>-netto-beroepsinkomen man</t>
  </si>
  <si>
    <t>ingeh BV</t>
  </si>
  <si>
    <t xml:space="preserve">-netto-beroepsinkomen vrouw </t>
  </si>
  <si>
    <t xml:space="preserve">ingeh BV </t>
  </si>
  <si>
    <t>Bereken de belasting van het gezin, de afrekening niet vergeten</t>
  </si>
  <si>
    <t>Tip:</t>
  </si>
  <si>
    <t>-bepaal eerst het GBI van de man en van de vrouw, rekening houdend met de HQ</t>
  </si>
  <si>
    <t>-gemeentelijke opcentimes:</t>
  </si>
  <si>
    <t>opa:</t>
  </si>
  <si>
    <t>17276,5+50%(49640-46440)</t>
  </si>
  <si>
    <t>-dienstencheques aangekocht op naam van de man bewezen op attest : 3960 euro</t>
  </si>
  <si>
    <t>nihil</t>
  </si>
  <si>
    <t>=12550*25%)</t>
  </si>
  <si>
    <t>-3 kinderen (°24/1/2013 en 31/12/2015 en 4/1/2024) + inwonende grootvader (75j)</t>
  </si>
  <si>
    <t>met een pensioen van 31900 euro. De grootvader woont in sinds 2019 (stond sindsdien in code 1043 vermeld)</t>
  </si>
  <si>
    <t xml:space="preserve">dienstencheques </t>
  </si>
  <si>
    <t xml:space="preserve">Ook proportionele omdeling van dienstencheques met een max van </t>
  </si>
  <si>
    <t>pp</t>
  </si>
  <si>
    <t xml:space="preserve">Oplossing voor </t>
  </si>
  <si>
    <t xml:space="preserve">IJ </t>
  </si>
  <si>
    <t>dus eigenlijk 1800 bij de man plaatsen</t>
  </si>
  <si>
    <t>indexeringscoëfficient :</t>
  </si>
  <si>
    <t>revalorisatiecoëffciënt:</t>
  </si>
  <si>
    <t>AP*beroepsgebruik</t>
  </si>
  <si>
    <t>+21%BTW</t>
  </si>
  <si>
    <t>Een BP kocht op 12-3-2017 (datum van authentieke akte) een terrein aan van</t>
  </si>
  <si>
    <t>110000,00 euro(registratiewaarde 100000,00 euro)</t>
  </si>
  <si>
    <t>Op 2-2-2023 (datum compromis) is het terrein verkocht voor 150000,00 euro (akte 6-10-2023)</t>
  </si>
  <si>
    <t>Makelaarsloon 3%</t>
  </si>
  <si>
    <t>Registratiewaarde van de verkoop 210000,00 euro</t>
  </si>
  <si>
    <t>Gebraagd :</t>
  </si>
  <si>
    <t>1)Aangifte en bijhorende berekening</t>
  </si>
  <si>
    <t>2)hoeveel bedraagt de belasting?</t>
  </si>
  <si>
    <t>datum auth akte 12-3-2017</t>
  </si>
  <si>
    <t>belasting =</t>
  </si>
  <si>
    <t>Oplossing voor IJ</t>
  </si>
  <si>
    <t>Aj</t>
  </si>
  <si>
    <t>bij verkoop gebouwen is de datum van verkrijging/vervreemding = de datum van de authentieke akte</t>
  </si>
  <si>
    <t>bij verkoop gronden is de datum van verkrijging= datum akte en de datum van vervreemding = datum compromis</t>
  </si>
  <si>
    <t>hier nihil</t>
  </si>
  <si>
    <t>grensbedrag pensioen &gt;65j:</t>
  </si>
  <si>
    <t>overgangsregeling voor de opa tot AJ2025!</t>
  </si>
  <si>
    <t>vanaf 2021 moet de inwonende ascendent "zorgbehoevend" zijn</t>
  </si>
  <si>
    <t>NBM&lt;</t>
  </si>
  <si>
    <t>Gezinslast:</t>
  </si>
  <si>
    <t>BVS:</t>
  </si>
  <si>
    <t xml:space="preserve">In opdracht van de RVA heeft zij zich al enkele malen moeten aanbieden bij verschillende werkgevers. </t>
  </si>
  <si>
    <t>Sarah kreeg een internetabonnement ter waarde van 182 euro.</t>
  </si>
  <si>
    <t>fed belast</t>
  </si>
  <si>
    <t>gewest bel</t>
  </si>
  <si>
    <t>gew bel</t>
  </si>
  <si>
    <t>Bman+Bvrouw</t>
  </si>
  <si>
    <t>code 1361</t>
  </si>
  <si>
    <t>code2361</t>
  </si>
  <si>
    <t xml:space="preserve">federaal dienstencheques </t>
  </si>
  <si>
    <t>per persoon</t>
  </si>
  <si>
    <t>code 4364</t>
  </si>
  <si>
    <t>Elke en Hugo zijn gehuwd in het wettelijk stelsel. Ze betrekken een appartement met</t>
  </si>
  <si>
    <t xml:space="preserve">Daarnaast bezit Hugo van voor zijn huwelijk een woning in Gent (KI 732,00), dat hij particulier verhuurt voor </t>
  </si>
  <si>
    <t>775,00 per maand</t>
  </si>
  <si>
    <t>een KI van 868,00 euro in Wondelgem in eigendom.</t>
  </si>
  <si>
    <t>deze loods wordt verhuurd aan BV Mosa voor 1500,00 euro per maand. Beide zussen zijn bestuurder in BV Mosa.</t>
  </si>
  <si>
    <t>KIEW vrijgesteld</t>
  </si>
  <si>
    <t>KIEW is vrijgesteld</t>
  </si>
  <si>
    <t>Het koppel Elke en Hugo bezit ook sinds juni  2022 een appartement in Calpe (Spanje)</t>
  </si>
  <si>
    <t>Zij verhuurden dit reeds voor 3500 euro aan particulieren</t>
  </si>
  <si>
    <t>is:</t>
  </si>
  <si>
    <t>Hugo : 49000</t>
  </si>
  <si>
    <t>Elke : 22000</t>
  </si>
  <si>
    <t>Zij gingen een hypothecaire lening aan op 21 januari 2021 voor de eigendom in Gent</t>
  </si>
  <si>
    <t>voor 140000 euro voor 15 jaar</t>
  </si>
  <si>
    <t>Op 1-1-2022 hadden zij 3 kinderen ten laste</t>
  </si>
  <si>
    <t xml:space="preserve">Betaalde kapitaalaflossing 4600 + 1800 intresten in </t>
  </si>
  <si>
    <t>SSV premie man : 254</t>
  </si>
  <si>
    <t>SSV premie vrouw : 240</t>
  </si>
  <si>
    <t>a)Aangifte : geef in volgorde de codes in de aangifte samen met de berekeningswijze</t>
  </si>
  <si>
    <t>c)wat is het belastingvoordeel van de aangegane lening?</t>
  </si>
  <si>
    <t>b)bepaal de belastbaarheid van het onroerend inkomen van Elke en van Hugo</t>
  </si>
  <si>
    <t>Elke heeft met haar zus de onverdeelde eigendom van een loods in Oostende geërfd (KI 636,00).</t>
  </si>
  <si>
    <t>km x</t>
  </si>
  <si>
    <t>5 x 5%</t>
  </si>
  <si>
    <t>meerwaarde in vak XVI code 1206</t>
  </si>
  <si>
    <t>beroepsgebruik</t>
  </si>
  <si>
    <t>forfaitair</t>
  </si>
  <si>
    <t>Zij ontving ook een gratis fitness loopband ter waarde van 2400 euro in de winkel.De kostprijs van de werkgever is 1500 euro excl BTW</t>
  </si>
  <si>
    <t>eventueel de aftrekbare onderhoudsgelden x80% kunnen hier proportioneel omgedeeld worden en afgetrokken</t>
  </si>
  <si>
    <t xml:space="preserve">Hun belastbaar beroepsinkomen in </t>
  </si>
  <si>
    <t>intrest lening</t>
  </si>
  <si>
    <t>in 2024 was het voordeel de federale intrestaftrek van de lening</t>
  </si>
  <si>
    <t xml:space="preserve">dit betekende 1800 euro x marginaal tarief van de man </t>
  </si>
  <si>
    <t>vanaf 2025 is dit afgeschaft voor iedereen!</t>
  </si>
  <si>
    <t>dit wordt ingevuld in Deel II Vak XVI code 2401 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</si>
</sst>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indexed="61"/>
      <name val="Arial"/>
      <family val="2"/>
    </font>
    <font>
      <strike/>
      <sz val="10"/>
      <name val="Arial"/>
      <family val="2"/>
    </font>
    <font>
      <sz val="10"/>
      <color theme="0" tint="-0.249977111117893"/>
      <name val="Arial"/>
      <family val="2"/>
    </font>
    <font>
      <sz val="10"/>
      <color theme="8" tint="0.79998168889431442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8"/>
      <name val="Arial"/>
      <family val="2"/>
    </font>
    <font>
      <sz val="8"/>
      <color rgb="FF0070C0"/>
      <name val="Arial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u/>
      <sz val="14"/>
      <name val="Arial"/>
      <family val="2"/>
    </font>
    <font>
      <sz val="12"/>
      <name val="Arial"/>
      <family val="2"/>
    </font>
    <font>
      <b/>
      <sz val="10"/>
      <color indexed="52"/>
      <name val="Arial"/>
      <family val="2"/>
    </font>
    <font>
      <u/>
      <sz val="10"/>
      <name val="Arial"/>
      <family val="2"/>
    </font>
    <font>
      <strike/>
      <sz val="12"/>
      <name val="Arial"/>
      <family val="2"/>
    </font>
    <font>
      <b/>
      <strike/>
      <sz val="10"/>
      <color rgb="FFFF0000"/>
      <name val="Arial"/>
      <family val="2"/>
    </font>
    <font>
      <b/>
      <sz val="12"/>
      <name val="Arial"/>
      <family val="2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2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rgb="FF7030A0"/>
      <name val="Arial"/>
      <family val="2"/>
    </font>
    <font>
      <b/>
      <sz val="11"/>
      <color rgb="FF7030A0"/>
      <name val="Calibri"/>
      <family val="2"/>
      <scheme val="minor"/>
    </font>
    <font>
      <sz val="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/>
    <xf numFmtId="0" fontId="2" fillId="0" borderId="0" xfId="0" quotePrefix="1" applyFont="1" applyAlignment="1">
      <alignment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wrapText="1"/>
    </xf>
    <xf numFmtId="10" fontId="0" fillId="0" borderId="0" xfId="0" applyNumberFormat="1"/>
    <xf numFmtId="9" fontId="0" fillId="0" borderId="0" xfId="0" applyNumberFormat="1"/>
    <xf numFmtId="0" fontId="2" fillId="0" borderId="0" xfId="0" quotePrefix="1" applyFont="1"/>
    <xf numFmtId="2" fontId="0" fillId="0" borderId="0" xfId="0" applyNumberFormat="1"/>
    <xf numFmtId="0" fontId="0" fillId="0" borderId="0" xfId="0" quotePrefix="1"/>
    <xf numFmtId="1" fontId="0" fillId="0" borderId="0" xfId="0" applyNumberFormat="1"/>
    <xf numFmtId="1" fontId="0" fillId="0" borderId="1" xfId="0" applyNumberFormat="1" applyBorder="1"/>
    <xf numFmtId="2" fontId="0" fillId="0" borderId="1" xfId="0" applyNumberFormat="1" applyBorder="1"/>
    <xf numFmtId="0" fontId="5" fillId="0" borderId="0" xfId="0" applyFont="1"/>
    <xf numFmtId="0" fontId="0" fillId="0" borderId="1" xfId="0" applyBorder="1"/>
    <xf numFmtId="0" fontId="0" fillId="2" borderId="0" xfId="0" applyFill="1"/>
    <xf numFmtId="0" fontId="0" fillId="3" borderId="0" xfId="0" applyFill="1"/>
    <xf numFmtId="0" fontId="6" fillId="0" borderId="0" xfId="0" applyFont="1"/>
    <xf numFmtId="164" fontId="0" fillId="0" borderId="0" xfId="1" applyNumberFormat="1" applyFont="1"/>
    <xf numFmtId="0" fontId="0" fillId="0" borderId="0" xfId="0" applyAlignment="1">
      <alignment vertical="top"/>
    </xf>
    <xf numFmtId="2" fontId="4" fillId="0" borderId="0" xfId="0" applyNumberFormat="1" applyFont="1"/>
    <xf numFmtId="0" fontId="2" fillId="0" borderId="0" xfId="0" applyFont="1" applyAlignment="1">
      <alignment vertical="top"/>
    </xf>
    <xf numFmtId="0" fontId="7" fillId="0" borderId="0" xfId="0" applyFont="1"/>
    <xf numFmtId="2" fontId="0" fillId="3" borderId="0" xfId="0" applyNumberFormat="1" applyFill="1"/>
    <xf numFmtId="9" fontId="2" fillId="0" borderId="0" xfId="1" applyFont="1"/>
    <xf numFmtId="0" fontId="8" fillId="0" borderId="0" xfId="0" applyFont="1"/>
    <xf numFmtId="2" fontId="0" fillId="4" borderId="0" xfId="0" applyNumberFormat="1" applyFill="1"/>
    <xf numFmtId="2" fontId="11" fillId="0" borderId="0" xfId="0" quotePrefix="1" applyNumberFormat="1" applyFont="1"/>
    <xf numFmtId="2" fontId="3" fillId="0" borderId="0" xfId="0" applyNumberFormat="1" applyFont="1"/>
    <xf numFmtId="2" fontId="11" fillId="0" borderId="0" xfId="0" applyNumberFormat="1" applyFont="1"/>
    <xf numFmtId="2" fontId="12" fillId="0" borderId="0" xfId="0" applyNumberFormat="1" applyFont="1"/>
    <xf numFmtId="0" fontId="12" fillId="0" borderId="0" xfId="0" applyFont="1"/>
    <xf numFmtId="2" fontId="12" fillId="0" borderId="0" xfId="0" quotePrefix="1" applyNumberFormat="1" applyFont="1"/>
    <xf numFmtId="2" fontId="3" fillId="0" borderId="0" xfId="0" quotePrefix="1" applyNumberFormat="1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10" fontId="19" fillId="0" borderId="0" xfId="0" applyNumberFormat="1" applyFont="1"/>
    <xf numFmtId="0" fontId="6" fillId="0" borderId="0" xfId="0" quotePrefix="1" applyFont="1"/>
    <xf numFmtId="0" fontId="2" fillId="5" borderId="0" xfId="0" applyFont="1" applyFill="1"/>
    <xf numFmtId="0" fontId="0" fillId="5" borderId="0" xfId="0" applyFill="1"/>
    <xf numFmtId="0" fontId="20" fillId="0" borderId="0" xfId="0" applyFont="1"/>
    <xf numFmtId="0" fontId="4" fillId="5" borderId="2" xfId="0" applyFont="1" applyFill="1" applyBorder="1"/>
    <xf numFmtId="2" fontId="21" fillId="0" borderId="0" xfId="0" applyNumberFormat="1" applyFont="1"/>
    <xf numFmtId="2" fontId="2" fillId="0" borderId="0" xfId="0" applyNumberFormat="1" applyFont="1"/>
    <xf numFmtId="14" fontId="0" fillId="0" borderId="0" xfId="0" applyNumberFormat="1"/>
    <xf numFmtId="2" fontId="18" fillId="0" borderId="0" xfId="0" applyNumberFormat="1" applyFont="1"/>
    <xf numFmtId="2" fontId="2" fillId="0" borderId="0" xfId="0" quotePrefix="1" applyNumberFormat="1" applyFont="1"/>
    <xf numFmtId="10" fontId="4" fillId="0" borderId="0" xfId="0" applyNumberFormat="1" applyFont="1"/>
    <xf numFmtId="0" fontId="22" fillId="6" borderId="0" xfId="0" applyFont="1" applyFill="1"/>
    <xf numFmtId="0" fontId="23" fillId="0" borderId="0" xfId="0" applyFont="1"/>
    <xf numFmtId="0" fontId="4" fillId="6" borderId="0" xfId="0" applyFont="1" applyFill="1"/>
    <xf numFmtId="0" fontId="22" fillId="0" borderId="0" xfId="0" applyFont="1"/>
    <xf numFmtId="10" fontId="0" fillId="0" borderId="3" xfId="0" applyNumberFormat="1" applyBorder="1" applyAlignment="1">
      <alignment vertical="top"/>
    </xf>
    <xf numFmtId="2" fontId="0" fillId="0" borderId="3" xfId="0" applyNumberFormat="1" applyBorder="1"/>
    <xf numFmtId="0" fontId="0" fillId="0" borderId="3" xfId="0" applyBorder="1"/>
    <xf numFmtId="2" fontId="0" fillId="0" borderId="4" xfId="0" applyNumberFormat="1" applyBorder="1"/>
    <xf numFmtId="2" fontId="0" fillId="3" borderId="3" xfId="0" applyNumberFormat="1" applyFill="1" applyBorder="1"/>
    <xf numFmtId="2" fontId="3" fillId="7" borderId="0" xfId="0" applyNumberFormat="1" applyFont="1" applyFill="1"/>
    <xf numFmtId="2" fontId="0" fillId="7" borderId="0" xfId="0" applyNumberFormat="1" applyFill="1"/>
    <xf numFmtId="0" fontId="0" fillId="7" borderId="0" xfId="0" applyFill="1"/>
    <xf numFmtId="2" fontId="4" fillId="7" borderId="0" xfId="0" applyNumberFormat="1" applyFont="1" applyFill="1"/>
    <xf numFmtId="0" fontId="24" fillId="0" borderId="0" xfId="0" applyFont="1"/>
    <xf numFmtId="2" fontId="25" fillId="0" borderId="0" xfId="0" applyNumberFormat="1" applyFont="1"/>
    <xf numFmtId="0" fontId="25" fillId="0" borderId="0" xfId="0" applyFont="1"/>
    <xf numFmtId="0" fontId="3" fillId="0" borderId="0" xfId="0" quotePrefix="1" applyFont="1"/>
    <xf numFmtId="0" fontId="26" fillId="0" borderId="0" xfId="0" applyFont="1"/>
    <xf numFmtId="0" fontId="27" fillId="0" borderId="0" xfId="0" applyFont="1"/>
    <xf numFmtId="2" fontId="27" fillId="0" borderId="0" xfId="0" applyNumberFormat="1" applyFont="1"/>
    <xf numFmtId="0" fontId="28" fillId="0" borderId="0" xfId="0" applyFont="1" applyAlignment="1">
      <alignment horizontal="right"/>
    </xf>
    <xf numFmtId="0" fontId="28" fillId="0" borderId="0" xfId="0" applyFont="1"/>
    <xf numFmtId="0" fontId="29" fillId="0" borderId="0" xfId="0" applyFont="1"/>
    <xf numFmtId="2" fontId="29" fillId="0" borderId="0" xfId="0" applyNumberFormat="1" applyFont="1"/>
    <xf numFmtId="0" fontId="30" fillId="0" borderId="0" xfId="0" applyFont="1"/>
    <xf numFmtId="0" fontId="31" fillId="0" borderId="0" xfId="0" applyFont="1"/>
    <xf numFmtId="2" fontId="32" fillId="0" borderId="0" xfId="0" applyNumberFormat="1" applyFont="1"/>
    <xf numFmtId="0" fontId="0" fillId="6" borderId="0" xfId="0" applyFill="1"/>
  </cellXfs>
  <cellStyles count="2">
    <cellStyle name="Procent" xfId="1" builtinId="5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2C6E-4BB9-4ABE-82AD-2DF028F638AF}">
  <dimension ref="A1:T58"/>
  <sheetViews>
    <sheetView workbookViewId="0">
      <selection activeCell="G13" sqref="G13"/>
    </sheetView>
  </sheetViews>
  <sheetFormatPr defaultRowHeight="14.4" x14ac:dyDescent="0.3"/>
  <cols>
    <col min="8" max="8" width="11.5546875" customWidth="1"/>
    <col min="20" max="20" width="16.5546875" customWidth="1"/>
  </cols>
  <sheetData>
    <row r="1" spans="1:20" x14ac:dyDescent="0.3">
      <c r="A1" s="1" t="s">
        <v>0</v>
      </c>
      <c r="H1" s="2"/>
      <c r="J1" s="3"/>
      <c r="K1" t="s">
        <v>150</v>
      </c>
      <c r="L1">
        <v>2023</v>
      </c>
      <c r="M1" t="s">
        <v>151</v>
      </c>
      <c r="N1">
        <v>2024</v>
      </c>
    </row>
    <row r="2" spans="1:20" x14ac:dyDescent="0.3">
      <c r="A2" s="55" t="s">
        <v>1</v>
      </c>
      <c r="B2" s="1" t="s">
        <v>2</v>
      </c>
      <c r="C2" s="1"/>
      <c r="H2" s="2"/>
      <c r="J2" s="3"/>
      <c r="K2" t="s">
        <v>148</v>
      </c>
    </row>
    <row r="3" spans="1:20" x14ac:dyDescent="0.3">
      <c r="A3" s="1" t="s">
        <v>3</v>
      </c>
      <c r="B3" s="4" t="s">
        <v>4</v>
      </c>
      <c r="F3" s="1" t="s">
        <v>5</v>
      </c>
      <c r="G3" s="4" t="s">
        <v>6</v>
      </c>
      <c r="H3" s="2"/>
      <c r="J3" s="3"/>
      <c r="K3">
        <f>L1</f>
        <v>2023</v>
      </c>
      <c r="L3" t="s">
        <v>149</v>
      </c>
    </row>
    <row r="4" spans="1:20" x14ac:dyDescent="0.3">
      <c r="A4" s="4">
        <v>1002</v>
      </c>
      <c r="B4" s="1" t="s">
        <v>7</v>
      </c>
      <c r="F4" s="4">
        <v>1002</v>
      </c>
      <c r="G4" s="1" t="s">
        <v>7</v>
      </c>
      <c r="H4" s="2"/>
      <c r="J4" s="3"/>
      <c r="K4" t="s">
        <v>152</v>
      </c>
      <c r="R4">
        <f>L1</f>
        <v>2023</v>
      </c>
      <c r="S4" t="s">
        <v>153</v>
      </c>
    </row>
    <row r="5" spans="1:20" x14ac:dyDescent="0.3">
      <c r="A5" s="4">
        <v>1003</v>
      </c>
      <c r="B5" s="1" t="s">
        <v>7</v>
      </c>
      <c r="F5" s="4">
        <v>1003</v>
      </c>
      <c r="G5" s="1" t="s">
        <v>7</v>
      </c>
      <c r="H5" s="2"/>
      <c r="J5" s="3"/>
      <c r="K5" t="s">
        <v>154</v>
      </c>
      <c r="M5">
        <f>L1</f>
        <v>2023</v>
      </c>
      <c r="N5" t="s">
        <v>155</v>
      </c>
    </row>
    <row r="6" spans="1:20" x14ac:dyDescent="0.3">
      <c r="B6" s="1"/>
      <c r="F6" s="4">
        <v>1030</v>
      </c>
      <c r="G6" s="1">
        <v>1</v>
      </c>
      <c r="H6" s="2"/>
      <c r="J6" s="3"/>
      <c r="K6" t="s">
        <v>156</v>
      </c>
      <c r="M6">
        <f>L1</f>
        <v>2023</v>
      </c>
      <c r="N6" t="s">
        <v>157</v>
      </c>
    </row>
    <row r="7" spans="1:20" x14ac:dyDescent="0.3">
      <c r="B7" s="1"/>
      <c r="F7" s="4">
        <v>1038</v>
      </c>
      <c r="G7" s="1">
        <v>1</v>
      </c>
      <c r="H7" s="5"/>
      <c r="J7" s="3"/>
    </row>
    <row r="8" spans="1:20" x14ac:dyDescent="0.3">
      <c r="H8" s="2"/>
      <c r="J8" s="3"/>
      <c r="K8" t="s">
        <v>158</v>
      </c>
      <c r="S8">
        <f>L1</f>
        <v>2023</v>
      </c>
      <c r="T8" t="s">
        <v>159</v>
      </c>
    </row>
    <row r="9" spans="1:20" x14ac:dyDescent="0.3">
      <c r="A9" s="1" t="s">
        <v>8</v>
      </c>
      <c r="H9" s="2"/>
      <c r="J9" s="3"/>
      <c r="K9" t="s">
        <v>160</v>
      </c>
    </row>
    <row r="10" spans="1:20" x14ac:dyDescent="0.3">
      <c r="A10" s="55" t="s">
        <v>9</v>
      </c>
      <c r="B10" s="1" t="s">
        <v>10</v>
      </c>
      <c r="F10" s="4" t="s">
        <v>9</v>
      </c>
      <c r="G10" s="1" t="s">
        <v>10</v>
      </c>
      <c r="H10" s="2"/>
      <c r="J10" s="3"/>
      <c r="K10" t="s">
        <v>161</v>
      </c>
    </row>
    <row r="11" spans="1:20" x14ac:dyDescent="0.3">
      <c r="A11" s="55" t="s">
        <v>11</v>
      </c>
      <c r="F11" s="4" t="s">
        <v>11</v>
      </c>
      <c r="H11" s="2"/>
      <c r="J11" s="3"/>
      <c r="K11" t="s">
        <v>162</v>
      </c>
      <c r="M11" t="s">
        <v>163</v>
      </c>
      <c r="O11" t="s">
        <v>164</v>
      </c>
      <c r="Q11" t="s">
        <v>166</v>
      </c>
      <c r="T11" s="49">
        <v>44576</v>
      </c>
    </row>
    <row r="12" spans="1:20" x14ac:dyDescent="0.3">
      <c r="A12" s="4">
        <v>1260</v>
      </c>
      <c r="B12">
        <v>16200</v>
      </c>
      <c r="F12" s="4">
        <v>1250</v>
      </c>
      <c r="G12">
        <v>65000</v>
      </c>
      <c r="H12" s="2"/>
      <c r="J12" s="3"/>
      <c r="M12" t="s">
        <v>165</v>
      </c>
      <c r="O12">
        <v>33215</v>
      </c>
    </row>
    <row r="13" spans="1:20" ht="40.200000000000003" x14ac:dyDescent="0.3">
      <c r="A13" s="4">
        <v>1286</v>
      </c>
      <c r="B13">
        <v>1620</v>
      </c>
      <c r="G13" s="78">
        <f>C28</f>
        <v>2087.4204</v>
      </c>
      <c r="H13" s="6" t="s">
        <v>12</v>
      </c>
      <c r="J13" s="3"/>
      <c r="K13" t="s">
        <v>167</v>
      </c>
    </row>
    <row r="14" spans="1:20" ht="27" x14ac:dyDescent="0.3">
      <c r="G14">
        <f>-420</f>
        <v>-420</v>
      </c>
      <c r="H14" s="7" t="s">
        <v>13</v>
      </c>
      <c r="J14" s="3"/>
      <c r="K14" t="s">
        <v>168</v>
      </c>
      <c r="O14">
        <f>L1</f>
        <v>2023</v>
      </c>
      <c r="P14">
        <v>35000</v>
      </c>
      <c r="Q14" t="s">
        <v>169</v>
      </c>
    </row>
    <row r="15" spans="1:20" ht="79.8" x14ac:dyDescent="0.3">
      <c r="G15">
        <f>-470</f>
        <v>-470</v>
      </c>
      <c r="H15" s="7" t="s">
        <v>14</v>
      </c>
      <c r="J15" s="3"/>
      <c r="K15" t="s">
        <v>170</v>
      </c>
      <c r="P15">
        <v>5000</v>
      </c>
      <c r="Q15" t="s">
        <v>171</v>
      </c>
    </row>
    <row r="16" spans="1:20" x14ac:dyDescent="0.3">
      <c r="H16" s="2"/>
      <c r="J16" s="3"/>
      <c r="K16" t="s">
        <v>172</v>
      </c>
    </row>
    <row r="17" spans="1:20" x14ac:dyDescent="0.3">
      <c r="G17">
        <v>1815</v>
      </c>
      <c r="H17" s="7" t="s">
        <v>15</v>
      </c>
      <c r="J17" s="3"/>
      <c r="K17" s="54" t="s">
        <v>173</v>
      </c>
      <c r="L17" s="54"/>
      <c r="M17" s="54"/>
      <c r="N17" s="54"/>
      <c r="O17" s="54">
        <v>792</v>
      </c>
      <c r="P17" s="54" t="s">
        <v>174</v>
      </c>
    </row>
    <row r="18" spans="1:20" x14ac:dyDescent="0.3">
      <c r="G18">
        <v>60</v>
      </c>
      <c r="H18" s="7" t="s">
        <v>16</v>
      </c>
      <c r="J18" s="3"/>
      <c r="K18" t="s">
        <v>272</v>
      </c>
    </row>
    <row r="19" spans="1:20" x14ac:dyDescent="0.3">
      <c r="H19" s="7"/>
      <c r="J19" s="3"/>
    </row>
    <row r="20" spans="1:20" x14ac:dyDescent="0.3">
      <c r="E20" s="56" t="s">
        <v>183</v>
      </c>
      <c r="G20" s="56">
        <f>SUM(G12:G18)</f>
        <v>68072.420400000003</v>
      </c>
      <c r="H20" s="2"/>
      <c r="J20" s="3"/>
      <c r="K20" t="s">
        <v>235</v>
      </c>
    </row>
    <row r="21" spans="1:20" ht="40.200000000000003" x14ac:dyDescent="0.3">
      <c r="F21" s="4">
        <v>1254</v>
      </c>
      <c r="G21">
        <v>470</v>
      </c>
      <c r="H21" s="7" t="s">
        <v>17</v>
      </c>
      <c r="J21" s="3"/>
      <c r="K21" t="s">
        <v>175</v>
      </c>
    </row>
    <row r="22" spans="1:20" x14ac:dyDescent="0.3">
      <c r="F22" s="4">
        <v>1255</v>
      </c>
      <c r="G22">
        <v>470</v>
      </c>
      <c r="H22" s="7" t="s">
        <v>18</v>
      </c>
      <c r="J22" s="3"/>
      <c r="K22" t="s">
        <v>176</v>
      </c>
    </row>
    <row r="23" spans="1:20" x14ac:dyDescent="0.3">
      <c r="F23" s="4">
        <v>1286</v>
      </c>
      <c r="G23">
        <v>19500</v>
      </c>
      <c r="H23" s="2"/>
      <c r="J23" s="3"/>
      <c r="K23" t="s">
        <v>234</v>
      </c>
    </row>
    <row r="24" spans="1:20" x14ac:dyDescent="0.3">
      <c r="F24" s="4">
        <v>1287</v>
      </c>
      <c r="G24">
        <v>731</v>
      </c>
      <c r="H24" s="2"/>
      <c r="J24" s="3"/>
      <c r="K24" t="s">
        <v>177</v>
      </c>
    </row>
    <row r="25" spans="1:20" x14ac:dyDescent="0.3">
      <c r="A25" s="55" t="s">
        <v>19</v>
      </c>
      <c r="B25" s="1" t="s">
        <v>20</v>
      </c>
      <c r="F25" s="55" t="s">
        <v>19</v>
      </c>
      <c r="G25" s="1" t="s">
        <v>20</v>
      </c>
      <c r="J25" s="3"/>
      <c r="K25" t="s">
        <v>178</v>
      </c>
      <c r="S25">
        <v>2023</v>
      </c>
      <c r="T25" t="s">
        <v>179</v>
      </c>
    </row>
    <row r="26" spans="1:20" x14ac:dyDescent="0.3">
      <c r="A26" s="4"/>
      <c r="B26" s="1" t="s">
        <v>21</v>
      </c>
      <c r="F26" s="4"/>
      <c r="G26" s="1" t="s">
        <v>21</v>
      </c>
      <c r="J26" s="3"/>
    </row>
    <row r="27" spans="1:20" x14ac:dyDescent="0.3">
      <c r="A27" s="4"/>
      <c r="H27" s="2"/>
      <c r="J27" s="3"/>
      <c r="K27" t="s">
        <v>180</v>
      </c>
    </row>
    <row r="28" spans="1:20" x14ac:dyDescent="0.3">
      <c r="A28" t="s">
        <v>12</v>
      </c>
      <c r="C28" s="77">
        <f>C29*D29*E29*F29</f>
        <v>2087.4204</v>
      </c>
      <c r="H28" s="2"/>
      <c r="J28" s="3"/>
      <c r="K28" s="53" t="s">
        <v>181</v>
      </c>
    </row>
    <row r="29" spans="1:20" x14ac:dyDescent="0.3">
      <c r="C29" s="8">
        <f>D30</f>
        <v>7.8E-2</v>
      </c>
      <c r="D29">
        <v>33215</v>
      </c>
      <c r="E29">
        <f>6/7</f>
        <v>0.8571428571428571</v>
      </c>
      <c r="F29" s="9">
        <v>0.94</v>
      </c>
      <c r="H29" s="2"/>
      <c r="J29" s="3"/>
    </row>
    <row r="30" spans="1:20" x14ac:dyDescent="0.3">
      <c r="A30" t="s">
        <v>22</v>
      </c>
      <c r="B30" s="10" t="s">
        <v>182</v>
      </c>
      <c r="D30" s="8">
        <f>5.5%+(105-82)*0.1%</f>
        <v>7.8E-2</v>
      </c>
      <c r="H30" s="2"/>
      <c r="J30" s="3"/>
    </row>
    <row r="31" spans="1:20" x14ac:dyDescent="0.3">
      <c r="H31" s="2"/>
      <c r="J31" s="3"/>
    </row>
    <row r="32" spans="1:20" x14ac:dyDescent="0.3">
      <c r="H32" s="2"/>
      <c r="J32" s="3"/>
    </row>
    <row r="58" spans="1:1" x14ac:dyDescent="0.3">
      <c r="A58" t="s">
        <v>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679AA-5B02-41A8-BA7F-63648025974D}">
  <dimension ref="A1:N96"/>
  <sheetViews>
    <sheetView topLeftCell="A87" zoomScale="160" zoomScaleNormal="160" workbookViewId="0">
      <selection activeCell="F77" sqref="F77"/>
    </sheetView>
  </sheetViews>
  <sheetFormatPr defaultRowHeight="14.4" x14ac:dyDescent="0.3"/>
  <cols>
    <col min="1" max="1" width="10" customWidth="1"/>
    <col min="2" max="2" width="15.6640625" customWidth="1"/>
    <col min="3" max="3" width="10" customWidth="1"/>
  </cols>
  <sheetData>
    <row r="1" spans="1:14" x14ac:dyDescent="0.3">
      <c r="A1" t="s">
        <v>23</v>
      </c>
      <c r="E1" s="11" t="s">
        <v>43</v>
      </c>
    </row>
    <row r="2" spans="1:14" x14ac:dyDescent="0.3">
      <c r="A2" t="s">
        <v>228</v>
      </c>
      <c r="C2">
        <v>30800</v>
      </c>
      <c r="E2" s="11"/>
      <c r="I2" t="s">
        <v>185</v>
      </c>
      <c r="J2" s="56">
        <v>2023</v>
      </c>
      <c r="K2" t="s">
        <v>151</v>
      </c>
      <c r="L2" s="56">
        <v>2024</v>
      </c>
    </row>
    <row r="3" spans="1:14" x14ac:dyDescent="0.3">
      <c r="A3" t="s">
        <v>24</v>
      </c>
      <c r="B3">
        <v>31900</v>
      </c>
      <c r="C3" s="12" t="s">
        <v>25</v>
      </c>
      <c r="D3">
        <f>C2</f>
        <v>30800</v>
      </c>
      <c r="E3" s="11">
        <f>B3-D3</f>
        <v>1100</v>
      </c>
      <c r="F3" t="s">
        <v>231</v>
      </c>
      <c r="G3">
        <v>3820</v>
      </c>
      <c r="I3" s="12" t="s">
        <v>201</v>
      </c>
    </row>
    <row r="4" spans="1:14" x14ac:dyDescent="0.3">
      <c r="A4" s="66" t="s">
        <v>229</v>
      </c>
      <c r="E4" s="11"/>
      <c r="I4" t="s">
        <v>202</v>
      </c>
    </row>
    <row r="5" spans="1:14" x14ac:dyDescent="0.3">
      <c r="A5" t="s">
        <v>230</v>
      </c>
      <c r="E5" s="11"/>
      <c r="I5" s="12" t="s">
        <v>186</v>
      </c>
    </row>
    <row r="6" spans="1:14" x14ac:dyDescent="0.3">
      <c r="E6" s="11"/>
      <c r="I6" s="12" t="s">
        <v>187</v>
      </c>
    </row>
    <row r="7" spans="1:14" x14ac:dyDescent="0.3">
      <c r="E7" s="11"/>
      <c r="I7" s="12" t="s">
        <v>198</v>
      </c>
    </row>
    <row r="8" spans="1:14" x14ac:dyDescent="0.3">
      <c r="A8" t="s">
        <v>26</v>
      </c>
      <c r="E8" s="11" t="s">
        <v>227</v>
      </c>
      <c r="I8" s="12" t="s">
        <v>188</v>
      </c>
      <c r="L8">
        <v>59000</v>
      </c>
      <c r="M8" t="s">
        <v>189</v>
      </c>
      <c r="N8">
        <v>18900</v>
      </c>
    </row>
    <row r="9" spans="1:14" x14ac:dyDescent="0.3">
      <c r="A9" t="s">
        <v>27</v>
      </c>
      <c r="D9" t="s">
        <v>28</v>
      </c>
      <c r="E9" s="11"/>
      <c r="I9" s="12" t="s">
        <v>190</v>
      </c>
      <c r="L9">
        <v>3190</v>
      </c>
      <c r="M9" t="s">
        <v>191</v>
      </c>
      <c r="N9">
        <v>590</v>
      </c>
    </row>
    <row r="10" spans="1:14" x14ac:dyDescent="0.3">
      <c r="B10" s="13">
        <v>0</v>
      </c>
      <c r="E10" s="11">
        <v>0</v>
      </c>
      <c r="I10" s="12" t="s">
        <v>195</v>
      </c>
      <c r="L10" s="8">
        <v>4.9000000000000002E-2</v>
      </c>
    </row>
    <row r="11" spans="1:14" x14ac:dyDescent="0.3">
      <c r="B11" s="14"/>
      <c r="E11" s="15"/>
    </row>
    <row r="12" spans="1:14" x14ac:dyDescent="0.3">
      <c r="B12" s="13">
        <v>0</v>
      </c>
      <c r="E12" s="11">
        <v>0</v>
      </c>
      <c r="I12" t="s">
        <v>180</v>
      </c>
    </row>
    <row r="13" spans="1:14" x14ac:dyDescent="0.3">
      <c r="E13" s="11"/>
      <c r="I13" t="s">
        <v>192</v>
      </c>
    </row>
    <row r="14" spans="1:14" x14ac:dyDescent="0.3">
      <c r="A14" s="16" t="s">
        <v>29</v>
      </c>
      <c r="E14" s="11"/>
      <c r="I14" t="s">
        <v>193</v>
      </c>
    </row>
    <row r="15" spans="1:14" x14ac:dyDescent="0.3">
      <c r="A15" t="s">
        <v>27</v>
      </c>
      <c r="E15" s="11" t="s">
        <v>28</v>
      </c>
      <c r="I15" s="12" t="s">
        <v>194</v>
      </c>
    </row>
    <row r="16" spans="1:14" x14ac:dyDescent="0.3">
      <c r="A16">
        <v>59000</v>
      </c>
      <c r="C16" t="s">
        <v>30</v>
      </c>
      <c r="E16" s="11">
        <v>3190</v>
      </c>
    </row>
    <row r="17" spans="1:7" x14ac:dyDescent="0.3">
      <c r="C17">
        <f>A16+E16</f>
        <v>62190</v>
      </c>
      <c r="E17" s="11"/>
    </row>
    <row r="18" spans="1:7" x14ac:dyDescent="0.3">
      <c r="C18">
        <f>0.3*C17</f>
        <v>18657</v>
      </c>
      <c r="E18" s="11"/>
    </row>
    <row r="19" spans="1:7" x14ac:dyDescent="0.3">
      <c r="C19" t="s">
        <v>31</v>
      </c>
      <c r="E19" s="11"/>
    </row>
    <row r="20" spans="1:7" x14ac:dyDescent="0.3">
      <c r="A20" s="17">
        <f>-(C20-E16)</f>
        <v>-9360</v>
      </c>
      <c r="C20">
        <v>12550</v>
      </c>
      <c r="E20" s="15">
        <f>-A20</f>
        <v>9360</v>
      </c>
    </row>
    <row r="21" spans="1:7" x14ac:dyDescent="0.3">
      <c r="A21">
        <f>SUM(A16:A20)</f>
        <v>49640</v>
      </c>
      <c r="E21" s="11">
        <f>SUM(E16:E20)</f>
        <v>12550</v>
      </c>
    </row>
    <row r="22" spans="1:7" x14ac:dyDescent="0.3">
      <c r="C22">
        <f>A21+E21</f>
        <v>62190</v>
      </c>
      <c r="E22" s="11"/>
    </row>
    <row r="23" spans="1:7" x14ac:dyDescent="0.3">
      <c r="C23" s="79" t="s">
        <v>273</v>
      </c>
      <c r="E23" s="11"/>
      <c r="G23" s="11"/>
    </row>
    <row r="24" spans="1:7" x14ac:dyDescent="0.3">
      <c r="A24" s="17">
        <f>-C25*A21/C22</f>
        <v>0</v>
      </c>
      <c r="C24" s="17">
        <v>0</v>
      </c>
      <c r="E24" s="15">
        <f>-C25*E21/C22</f>
        <v>0</v>
      </c>
    </row>
    <row r="25" spans="1:7" x14ac:dyDescent="0.3">
      <c r="A25" s="18">
        <f>SUM(A21:A24)</f>
        <v>49640</v>
      </c>
      <c r="C25" s="11">
        <f>SUM(C23:C24)</f>
        <v>0</v>
      </c>
      <c r="D25" t="s">
        <v>32</v>
      </c>
      <c r="E25" s="18">
        <f>SUM(E21:E24)</f>
        <v>12550</v>
      </c>
    </row>
    <row r="26" spans="1:7" x14ac:dyDescent="0.3">
      <c r="E26" s="11"/>
    </row>
    <row r="27" spans="1:7" x14ac:dyDescent="0.3">
      <c r="E27" s="11"/>
    </row>
    <row r="28" spans="1:7" x14ac:dyDescent="0.3">
      <c r="A28" s="16" t="s">
        <v>9</v>
      </c>
      <c r="C28" t="s">
        <v>199</v>
      </c>
      <c r="E28" s="11"/>
    </row>
    <row r="29" spans="1:7" x14ac:dyDescent="0.3">
      <c r="A29" s="19"/>
      <c r="B29">
        <v>0</v>
      </c>
      <c r="D29" s="19"/>
      <c r="E29" s="11">
        <v>0</v>
      </c>
    </row>
    <row r="30" spans="1:7" x14ac:dyDescent="0.3">
      <c r="E30" s="11"/>
    </row>
    <row r="31" spans="1:7" x14ac:dyDescent="0.3">
      <c r="E31" s="11"/>
    </row>
    <row r="32" spans="1:7" x14ac:dyDescent="0.3">
      <c r="A32" s="16" t="s">
        <v>33</v>
      </c>
      <c r="D32" t="s">
        <v>199</v>
      </c>
      <c r="E32" s="11"/>
      <c r="G32" t="s">
        <v>34</v>
      </c>
    </row>
    <row r="33" spans="1:12" x14ac:dyDescent="0.3">
      <c r="E33" s="11"/>
    </row>
    <row r="34" spans="1:12" x14ac:dyDescent="0.3">
      <c r="A34" s="19">
        <v>3370</v>
      </c>
      <c r="B34" s="13">
        <v>0</v>
      </c>
      <c r="D34" s="19">
        <v>4370</v>
      </c>
      <c r="E34" s="11">
        <f>B34</f>
        <v>0</v>
      </c>
    </row>
    <row r="35" spans="1:12" x14ac:dyDescent="0.3">
      <c r="A35">
        <v>3374</v>
      </c>
      <c r="D35">
        <v>4374</v>
      </c>
      <c r="E35" s="11"/>
    </row>
    <row r="36" spans="1:12" x14ac:dyDescent="0.3">
      <c r="E36" s="11"/>
    </row>
    <row r="37" spans="1:12" x14ac:dyDescent="0.3">
      <c r="E37" s="11"/>
    </row>
    <row r="38" spans="1:12" x14ac:dyDescent="0.3">
      <c r="E38" s="11"/>
    </row>
    <row r="39" spans="1:12" x14ac:dyDescent="0.3">
      <c r="A39" s="16" t="s">
        <v>35</v>
      </c>
      <c r="E39" s="11"/>
    </row>
    <row r="40" spans="1:12" x14ac:dyDescent="0.3">
      <c r="A40">
        <v>1361</v>
      </c>
      <c r="B40">
        <v>990</v>
      </c>
      <c r="D40">
        <v>2361</v>
      </c>
      <c r="E40" s="11">
        <v>990</v>
      </c>
    </row>
    <row r="41" spans="1:12" x14ac:dyDescent="0.3">
      <c r="E41" s="11"/>
    </row>
    <row r="42" spans="1:12" x14ac:dyDescent="0.3">
      <c r="A42" s="16" t="s">
        <v>36</v>
      </c>
      <c r="D42" t="s">
        <v>35</v>
      </c>
      <c r="E42" s="11" t="s">
        <v>37</v>
      </c>
      <c r="F42">
        <v>915</v>
      </c>
    </row>
    <row r="43" spans="1:12" x14ac:dyDescent="0.3">
      <c r="E43" s="11" t="s">
        <v>38</v>
      </c>
      <c r="F43" s="20">
        <v>3960</v>
      </c>
      <c r="G43">
        <v>1720</v>
      </c>
      <c r="H43" t="s">
        <v>243</v>
      </c>
      <c r="J43" t="s">
        <v>244</v>
      </c>
      <c r="K43">
        <v>1720</v>
      </c>
      <c r="L43" s="70" t="s">
        <v>242</v>
      </c>
    </row>
    <row r="44" spans="1:12" x14ac:dyDescent="0.3">
      <c r="E44" s="11" t="s">
        <v>240</v>
      </c>
      <c r="F44">
        <v>990</v>
      </c>
      <c r="L44" s="70" t="s">
        <v>39</v>
      </c>
    </row>
    <row r="45" spans="1:12" x14ac:dyDescent="0.3">
      <c r="A45" s="16" t="s">
        <v>40</v>
      </c>
      <c r="E45" s="11" t="s">
        <v>241</v>
      </c>
      <c r="F45">
        <v>990</v>
      </c>
      <c r="G45" s="3"/>
    </row>
    <row r="46" spans="1:12" x14ac:dyDescent="0.3">
      <c r="E46" s="11"/>
    </row>
    <row r="47" spans="1:12" x14ac:dyDescent="0.3">
      <c r="A47" t="s">
        <v>41</v>
      </c>
      <c r="C47">
        <f>A25</f>
        <v>49640</v>
      </c>
      <c r="E47" s="11">
        <f>17276.5+50%*(C47-46440)</f>
        <v>18876.5</v>
      </c>
      <c r="F47" s="69" t="s">
        <v>197</v>
      </c>
      <c r="G47" s="8"/>
      <c r="H47" s="21"/>
    </row>
    <row r="48" spans="1:12" x14ac:dyDescent="0.3">
      <c r="D48" t="s">
        <v>42</v>
      </c>
      <c r="E48" s="15">
        <f>-F48*0.25</f>
        <v>-2540</v>
      </c>
      <c r="F48">
        <v>10160</v>
      </c>
    </row>
    <row r="49" spans="1:12" x14ac:dyDescent="0.3">
      <c r="E49" s="11">
        <f>SUM(E47:E48)</f>
        <v>16336.5</v>
      </c>
    </row>
    <row r="50" spans="1:12" x14ac:dyDescent="0.3">
      <c r="E50" s="11"/>
    </row>
    <row r="51" spans="1:12" x14ac:dyDescent="0.3">
      <c r="E51" s="11"/>
    </row>
    <row r="52" spans="1:12" x14ac:dyDescent="0.3">
      <c r="A52" t="s">
        <v>232</v>
      </c>
      <c r="B52" s="12"/>
      <c r="E52" s="11"/>
    </row>
    <row r="53" spans="1:12" x14ac:dyDescent="0.3">
      <c r="A53" t="s">
        <v>43</v>
      </c>
      <c r="B53">
        <v>4760</v>
      </c>
      <c r="E53" s="11"/>
    </row>
    <row r="54" spans="1:12" x14ac:dyDescent="0.3">
      <c r="A54" t="s">
        <v>196</v>
      </c>
      <c r="B54" s="17">
        <v>3700</v>
      </c>
      <c r="E54" s="11"/>
    </row>
    <row r="55" spans="1:12" x14ac:dyDescent="0.3">
      <c r="A55" t="s">
        <v>233</v>
      </c>
      <c r="B55">
        <f>SUM(B53:B54)</f>
        <v>8460</v>
      </c>
      <c r="E55" s="11"/>
      <c r="G55" s="22"/>
    </row>
    <row r="56" spans="1:12" x14ac:dyDescent="0.3">
      <c r="E56" s="11"/>
      <c r="G56" s="22"/>
    </row>
    <row r="57" spans="1:12" x14ac:dyDescent="0.3">
      <c r="B57" s="11">
        <v>520</v>
      </c>
      <c r="C57" s="12" t="s">
        <v>44</v>
      </c>
      <c r="E57" s="11">
        <f>-B57*0.25</f>
        <v>-130</v>
      </c>
      <c r="G57" s="22"/>
    </row>
    <row r="58" spans="1:12" x14ac:dyDescent="0.3">
      <c r="B58">
        <v>4520</v>
      </c>
      <c r="C58" s="10" t="s">
        <v>45</v>
      </c>
      <c r="E58" s="11">
        <f>-B58*0.3</f>
        <v>-1356</v>
      </c>
      <c r="G58" s="22"/>
    </row>
    <row r="59" spans="1:12" x14ac:dyDescent="0.3">
      <c r="A59" s="67">
        <f>B55-B57-B58</f>
        <v>3420</v>
      </c>
      <c r="B59" s="17">
        <v>3420</v>
      </c>
      <c r="C59" s="12" t="s">
        <v>46</v>
      </c>
      <c r="E59" s="15">
        <f>-B59*0.4</f>
        <v>-1368</v>
      </c>
      <c r="G59" s="22"/>
    </row>
    <row r="60" spans="1:12" x14ac:dyDescent="0.3">
      <c r="A60" t="s">
        <v>233</v>
      </c>
      <c r="B60">
        <f>SUM(B57:B59)</f>
        <v>8460</v>
      </c>
      <c r="E60" s="23">
        <f>SUM(E49:E59)</f>
        <v>13482.5</v>
      </c>
      <c r="G60" s="22"/>
    </row>
    <row r="61" spans="1:12" x14ac:dyDescent="0.3">
      <c r="E61" s="11"/>
      <c r="G61" s="24" t="s">
        <v>47</v>
      </c>
      <c r="I61" s="1" t="s">
        <v>48</v>
      </c>
    </row>
    <row r="62" spans="1:12" x14ac:dyDescent="0.3">
      <c r="E62" s="11"/>
      <c r="F62" s="25">
        <f>E60*G62</f>
        <v>3364.8275249999997</v>
      </c>
      <c r="G62" s="57">
        <v>0.24956999999999999</v>
      </c>
      <c r="I62" s="8">
        <v>0.33256999999999998</v>
      </c>
    </row>
    <row r="63" spans="1:12" x14ac:dyDescent="0.3">
      <c r="E63" s="11"/>
      <c r="G63" s="58">
        <f>E60-F62</f>
        <v>10117.672474999999</v>
      </c>
      <c r="L63">
        <f>G63*I62</f>
        <v>3364.8343350107498</v>
      </c>
    </row>
    <row r="64" spans="1:12" x14ac:dyDescent="0.3">
      <c r="E64" s="11"/>
      <c r="G64" s="59"/>
    </row>
    <row r="65" spans="1:13" x14ac:dyDescent="0.3">
      <c r="C65" t="s">
        <v>51</v>
      </c>
      <c r="E65" s="11">
        <f>915/62190*49640</f>
        <v>730.35214664737089</v>
      </c>
      <c r="F65" s="1" t="s">
        <v>52</v>
      </c>
      <c r="G65" s="58">
        <f>-E65*45%</f>
        <v>-328.65846599131692</v>
      </c>
      <c r="H65" t="s">
        <v>49</v>
      </c>
      <c r="J65" s="11">
        <v>0</v>
      </c>
      <c r="K65" s="1" t="s">
        <v>50</v>
      </c>
      <c r="L65" s="11">
        <v>0</v>
      </c>
    </row>
    <row r="66" spans="1:13" x14ac:dyDescent="0.3">
      <c r="C66" t="s">
        <v>53</v>
      </c>
      <c r="E66">
        <v>990</v>
      </c>
      <c r="F66" t="s">
        <v>54</v>
      </c>
      <c r="G66" s="60">
        <f>-E66*30%</f>
        <v>-297</v>
      </c>
      <c r="H66" s="1"/>
      <c r="L66" s="11"/>
    </row>
    <row r="67" spans="1:13" x14ac:dyDescent="0.3">
      <c r="H67" t="s">
        <v>55</v>
      </c>
      <c r="J67">
        <v>1720</v>
      </c>
      <c r="K67" t="s">
        <v>56</v>
      </c>
      <c r="L67" s="17">
        <f>-J67*20%</f>
        <v>-344</v>
      </c>
    </row>
    <row r="68" spans="1:13" x14ac:dyDescent="0.3">
      <c r="G68" s="58">
        <f>SUM(G63:G66)</f>
        <v>9492.0140090086825</v>
      </c>
      <c r="H68" t="s">
        <v>236</v>
      </c>
    </row>
    <row r="69" spans="1:13" x14ac:dyDescent="0.3">
      <c r="E69" s="11"/>
      <c r="L69">
        <f>SUM(L63:L67)</f>
        <v>3020.8343350107498</v>
      </c>
      <c r="M69" t="s">
        <v>237</v>
      </c>
    </row>
    <row r="70" spans="1:13" x14ac:dyDescent="0.3">
      <c r="A70" t="s">
        <v>58</v>
      </c>
      <c r="E70" s="11"/>
      <c r="G70" s="61">
        <f>G68+L69</f>
        <v>12512.848344019432</v>
      </c>
      <c r="H70" t="s">
        <v>57</v>
      </c>
    </row>
    <row r="71" spans="1:13" x14ac:dyDescent="0.3">
      <c r="A71" t="s">
        <v>59</v>
      </c>
      <c r="E71" s="11"/>
      <c r="G71" s="26"/>
    </row>
    <row r="72" spans="1:13" x14ac:dyDescent="0.3">
      <c r="A72" t="s">
        <v>204</v>
      </c>
      <c r="E72" s="11"/>
    </row>
    <row r="73" spans="1:13" x14ac:dyDescent="0.3">
      <c r="A73">
        <v>1720</v>
      </c>
      <c r="B73" t="s">
        <v>205</v>
      </c>
      <c r="E73" s="11"/>
    </row>
    <row r="74" spans="1:13" x14ac:dyDescent="0.3">
      <c r="E74" s="11"/>
    </row>
    <row r="75" spans="1:13" x14ac:dyDescent="0.3">
      <c r="E75" s="11"/>
    </row>
    <row r="76" spans="1:13" x14ac:dyDescent="0.3">
      <c r="A76" t="s">
        <v>60</v>
      </c>
      <c r="C76" s="11">
        <f>E25</f>
        <v>12550</v>
      </c>
      <c r="E76" s="11">
        <f>C76*25%</f>
        <v>3137.5</v>
      </c>
    </row>
    <row r="77" spans="1:13" x14ac:dyDescent="0.3">
      <c r="D77" t="s">
        <v>42</v>
      </c>
      <c r="E77" s="15">
        <f>-F77*0.25</f>
        <v>-2540</v>
      </c>
      <c r="F77">
        <v>10160</v>
      </c>
      <c r="G77" s="10" t="s">
        <v>200</v>
      </c>
    </row>
    <row r="78" spans="1:13" x14ac:dyDescent="0.3">
      <c r="E78" s="11">
        <f>SUM(E76:E77)</f>
        <v>597.5</v>
      </c>
    </row>
    <row r="79" spans="1:13" x14ac:dyDescent="0.3">
      <c r="E79" s="11"/>
      <c r="G79" s="1" t="s">
        <v>47</v>
      </c>
      <c r="H79" s="21"/>
      <c r="I79" s="27" t="s">
        <v>61</v>
      </c>
    </row>
    <row r="80" spans="1:13" x14ac:dyDescent="0.3">
      <c r="E80" s="11"/>
      <c r="F80" s="25">
        <f>E78*G80</f>
        <v>149.118075</v>
      </c>
      <c r="G80" s="8">
        <f>G62</f>
        <v>0.24956999999999999</v>
      </c>
      <c r="I80" s="8">
        <f>I62</f>
        <v>0.33256999999999998</v>
      </c>
    </row>
    <row r="81" spans="1:13" x14ac:dyDescent="0.3">
      <c r="E81" s="11"/>
      <c r="G81" s="11">
        <f>E78-F80</f>
        <v>448.38192500000002</v>
      </c>
      <c r="L81">
        <f>G81*I80</f>
        <v>149.11837679724999</v>
      </c>
    </row>
    <row r="82" spans="1:13" x14ac:dyDescent="0.3">
      <c r="A82" s="1" t="s">
        <v>51</v>
      </c>
      <c r="C82" s="11">
        <f>915-E65</f>
        <v>184.64785335262911</v>
      </c>
      <c r="D82" s="9">
        <v>0.45</v>
      </c>
      <c r="E82" s="11">
        <f>-C82*D82</f>
        <v>-83.091534008683098</v>
      </c>
    </row>
    <row r="83" spans="1:13" x14ac:dyDescent="0.3">
      <c r="A83" s="1" t="s">
        <v>62</v>
      </c>
      <c r="C83" s="11">
        <f>E66</f>
        <v>990</v>
      </c>
      <c r="D83" s="9">
        <v>0.3</v>
      </c>
      <c r="E83" s="15">
        <f>C83*D83*-1</f>
        <v>-297</v>
      </c>
      <c r="H83" t="s">
        <v>49</v>
      </c>
      <c r="J83" s="23">
        <v>0</v>
      </c>
      <c r="K83" s="1" t="s">
        <v>63</v>
      </c>
    </row>
    <row r="84" spans="1:13" x14ac:dyDescent="0.3">
      <c r="C84">
        <v>0</v>
      </c>
      <c r="E84" s="26">
        <f>SUM(E78:E83)</f>
        <v>217.40846599131692</v>
      </c>
      <c r="F84" t="s">
        <v>236</v>
      </c>
      <c r="H84" t="s">
        <v>203</v>
      </c>
      <c r="J84">
        <v>1720</v>
      </c>
      <c r="K84" s="9">
        <v>0.2</v>
      </c>
      <c r="L84" s="15">
        <f>-J84*K84</f>
        <v>-344</v>
      </c>
      <c r="M84" s="28"/>
    </row>
    <row r="85" spans="1:13" x14ac:dyDescent="0.3">
      <c r="E85" s="11"/>
      <c r="L85">
        <f>SUM(L81:L84)</f>
        <v>-194.88162320275001</v>
      </c>
      <c r="M85" s="1" t="s">
        <v>238</v>
      </c>
    </row>
    <row r="86" spans="1:13" x14ac:dyDescent="0.3">
      <c r="E86" s="11"/>
      <c r="G86" s="26">
        <f>E84+L85</f>
        <v>22.52684278856691</v>
      </c>
      <c r="H86" t="s">
        <v>64</v>
      </c>
    </row>
    <row r="87" spans="1:13" x14ac:dyDescent="0.3">
      <c r="E87" s="11"/>
      <c r="J87" s="28" t="s">
        <v>65</v>
      </c>
      <c r="K87" s="28"/>
      <c r="L87" s="28"/>
    </row>
    <row r="88" spans="1:13" x14ac:dyDescent="0.3">
      <c r="A88" t="s">
        <v>67</v>
      </c>
      <c r="C88" s="11">
        <f>G70+G86</f>
        <v>12535.375186808</v>
      </c>
      <c r="D88" t="s">
        <v>239</v>
      </c>
      <c r="E88" s="11"/>
      <c r="J88" s="28"/>
      <c r="K88" s="28" t="s">
        <v>66</v>
      </c>
      <c r="L88" s="28"/>
    </row>
    <row r="89" spans="1:13" x14ac:dyDescent="0.3">
      <c r="C89" s="11">
        <f>C88*E89</f>
        <v>614.23338415359206</v>
      </c>
      <c r="D89" t="s">
        <v>68</v>
      </c>
      <c r="E89" s="21">
        <v>4.9000000000000002E-2</v>
      </c>
    </row>
    <row r="90" spans="1:13" x14ac:dyDescent="0.3">
      <c r="C90" s="67">
        <v>0</v>
      </c>
      <c r="D90" s="68" t="s">
        <v>69</v>
      </c>
      <c r="E90" s="67" t="s">
        <v>70</v>
      </c>
      <c r="F90" s="68"/>
      <c r="G90" s="68"/>
      <c r="H90" s="68"/>
    </row>
    <row r="91" spans="1:13" x14ac:dyDescent="0.3">
      <c r="C91" s="11">
        <v>-19490</v>
      </c>
      <c r="D91" t="s">
        <v>71</v>
      </c>
      <c r="E91" s="11"/>
    </row>
    <row r="92" spans="1:13" x14ac:dyDescent="0.3">
      <c r="A92">
        <v>0</v>
      </c>
      <c r="C92" s="15">
        <v>0</v>
      </c>
      <c r="D92" t="s">
        <v>72</v>
      </c>
      <c r="E92" s="11" t="s">
        <v>73</v>
      </c>
      <c r="F92" s="11">
        <v>0</v>
      </c>
    </row>
    <row r="93" spans="1:13" x14ac:dyDescent="0.3">
      <c r="C93" s="29">
        <f>SUM(C88:C92)</f>
        <v>-6340.3914290384073</v>
      </c>
      <c r="D93" t="s">
        <v>74</v>
      </c>
      <c r="E93" s="11"/>
    </row>
    <row r="94" spans="1:13" x14ac:dyDescent="0.3">
      <c r="E94" s="11"/>
    </row>
    <row r="95" spans="1:13" x14ac:dyDescent="0.3">
      <c r="E95" s="11"/>
    </row>
    <row r="96" spans="1:13" x14ac:dyDescent="0.3">
      <c r="E96" s="11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BC3AE-41D0-4DF1-A6D2-A46084373029}">
  <dimension ref="A2:S43"/>
  <sheetViews>
    <sheetView tabSelected="1" topLeftCell="A20" zoomScaleNormal="100" workbookViewId="0">
      <selection activeCell="L26" sqref="L26"/>
    </sheetView>
  </sheetViews>
  <sheetFormatPr defaultRowHeight="14.4" x14ac:dyDescent="0.3"/>
  <cols>
    <col min="2" max="2" width="13.5546875" customWidth="1"/>
    <col min="14" max="14" width="11.33203125" customWidth="1"/>
  </cols>
  <sheetData>
    <row r="2" spans="1:19" x14ac:dyDescent="0.3">
      <c r="L2" t="s">
        <v>206</v>
      </c>
      <c r="N2" t="s">
        <v>207</v>
      </c>
      <c r="O2">
        <v>2023</v>
      </c>
      <c r="P2" t="s">
        <v>151</v>
      </c>
      <c r="Q2">
        <v>2024</v>
      </c>
    </row>
    <row r="3" spans="1:19" x14ac:dyDescent="0.3">
      <c r="L3" t="s">
        <v>209</v>
      </c>
      <c r="O3">
        <v>2.0914999999999999</v>
      </c>
      <c r="P3" t="s">
        <v>210</v>
      </c>
      <c r="S3">
        <v>5.37</v>
      </c>
    </row>
    <row r="5" spans="1:19" x14ac:dyDescent="0.3">
      <c r="A5" s="1" t="s">
        <v>75</v>
      </c>
      <c r="B5" s="30" t="s">
        <v>76</v>
      </c>
      <c r="C5" s="31"/>
      <c r="D5" s="31"/>
      <c r="E5" s="31"/>
      <c r="F5" s="31"/>
      <c r="G5" s="31"/>
      <c r="H5" s="31"/>
      <c r="I5" s="31"/>
      <c r="J5" s="31"/>
      <c r="L5" t="s">
        <v>245</v>
      </c>
    </row>
    <row r="6" spans="1:19" x14ac:dyDescent="0.3">
      <c r="A6" s="4" t="s">
        <v>3</v>
      </c>
      <c r="B6" s="32"/>
      <c r="C6" s="31"/>
      <c r="D6" s="31"/>
      <c r="E6" s="31"/>
      <c r="F6" s="31"/>
      <c r="G6" s="31"/>
      <c r="H6" s="31"/>
      <c r="I6" s="31"/>
      <c r="J6" s="31"/>
      <c r="L6" t="s">
        <v>248</v>
      </c>
    </row>
    <row r="7" spans="1:19" x14ac:dyDescent="0.3">
      <c r="B7" s="31"/>
      <c r="C7" s="31"/>
      <c r="D7" s="31" t="s">
        <v>77</v>
      </c>
      <c r="E7" s="31"/>
      <c r="F7" s="31"/>
      <c r="G7" s="31" t="s">
        <v>78</v>
      </c>
      <c r="H7" s="31"/>
      <c r="I7" s="31"/>
      <c r="J7" s="31"/>
      <c r="L7" t="s">
        <v>246</v>
      </c>
    </row>
    <row r="8" spans="1:19" x14ac:dyDescent="0.3">
      <c r="B8" s="33" t="s">
        <v>9</v>
      </c>
      <c r="C8" s="33"/>
      <c r="D8" s="33"/>
      <c r="E8" s="33"/>
      <c r="F8" s="33"/>
      <c r="G8" s="33"/>
      <c r="H8" s="33"/>
      <c r="I8" s="31"/>
      <c r="J8" s="31"/>
      <c r="L8" t="s">
        <v>247</v>
      </c>
    </row>
    <row r="9" spans="1:19" x14ac:dyDescent="0.3">
      <c r="B9" s="34"/>
      <c r="C9" s="33"/>
      <c r="D9" s="35" t="s">
        <v>250</v>
      </c>
      <c r="E9" s="35"/>
      <c r="F9" s="33"/>
      <c r="G9" s="34"/>
      <c r="H9" s="35" t="s">
        <v>251</v>
      </c>
      <c r="I9" s="31"/>
      <c r="J9" s="31"/>
      <c r="L9" t="s">
        <v>266</v>
      </c>
    </row>
    <row r="10" spans="1:19" x14ac:dyDescent="0.3">
      <c r="B10" s="34">
        <v>1106</v>
      </c>
      <c r="C10" s="33"/>
      <c r="D10" s="33">
        <f>732/2</f>
        <v>366</v>
      </c>
      <c r="E10" s="33"/>
      <c r="F10" s="33"/>
      <c r="G10" s="34">
        <v>2106</v>
      </c>
      <c r="H10" s="33">
        <f>D10</f>
        <v>366</v>
      </c>
      <c r="I10" s="31"/>
      <c r="J10" s="31"/>
      <c r="L10" t="s">
        <v>249</v>
      </c>
    </row>
    <row r="11" spans="1:19" x14ac:dyDescent="0.3">
      <c r="B11" s="34">
        <v>1109</v>
      </c>
      <c r="C11" s="33"/>
      <c r="D11" s="33">
        <f>636/2/2</f>
        <v>159</v>
      </c>
      <c r="E11" s="33"/>
      <c r="F11" s="33"/>
      <c r="G11" s="34">
        <v>2109</v>
      </c>
      <c r="H11" s="33">
        <f>D11</f>
        <v>159</v>
      </c>
      <c r="I11" s="31"/>
      <c r="J11" s="31"/>
      <c r="L11" t="s">
        <v>252</v>
      </c>
    </row>
    <row r="12" spans="1:19" x14ac:dyDescent="0.3">
      <c r="B12" s="34">
        <v>1110</v>
      </c>
      <c r="C12" s="33"/>
      <c r="D12" s="33">
        <f>1500/2/2*12</f>
        <v>4500</v>
      </c>
      <c r="E12" s="33"/>
      <c r="F12" s="33"/>
      <c r="G12" s="34">
        <v>2110</v>
      </c>
      <c r="H12" s="33">
        <f>G40</f>
        <v>1423.05</v>
      </c>
      <c r="I12" s="31"/>
      <c r="J12" s="31"/>
      <c r="L12" t="s">
        <v>253</v>
      </c>
    </row>
    <row r="13" spans="1:19" x14ac:dyDescent="0.3">
      <c r="B13" s="34" t="s">
        <v>79</v>
      </c>
      <c r="C13" s="33"/>
      <c r="D13" s="33"/>
      <c r="E13" s="33"/>
      <c r="F13" s="33"/>
      <c r="G13" s="33"/>
      <c r="H13" s="33"/>
      <c r="I13" s="33"/>
      <c r="J13" s="31"/>
      <c r="L13" t="s">
        <v>274</v>
      </c>
      <c r="O13">
        <f>O2</f>
        <v>2023</v>
      </c>
      <c r="P13" t="s">
        <v>254</v>
      </c>
    </row>
    <row r="14" spans="1:19" x14ac:dyDescent="0.3">
      <c r="B14" s="34">
        <v>1146</v>
      </c>
      <c r="C14" s="33"/>
      <c r="D14" s="33">
        <f>1800/2</f>
        <v>900</v>
      </c>
      <c r="E14" s="33"/>
      <c r="F14" s="31"/>
      <c r="G14" s="34">
        <f>1800/2</f>
        <v>900</v>
      </c>
      <c r="H14" s="31" t="s">
        <v>80</v>
      </c>
      <c r="I14" s="31"/>
      <c r="J14" s="31"/>
      <c r="L14" t="s">
        <v>255</v>
      </c>
    </row>
    <row r="15" spans="1:19" x14ac:dyDescent="0.3">
      <c r="A15" s="1" t="s">
        <v>81</v>
      </c>
      <c r="B15" s="34" t="s">
        <v>82</v>
      </c>
      <c r="C15" s="31"/>
      <c r="D15" s="31"/>
      <c r="E15" s="31"/>
      <c r="F15" s="31"/>
      <c r="G15" s="31"/>
      <c r="H15" s="31" t="s">
        <v>208</v>
      </c>
      <c r="I15" s="31"/>
      <c r="J15" s="31"/>
      <c r="L15" t="s">
        <v>256</v>
      </c>
    </row>
    <row r="16" spans="1:19" x14ac:dyDescent="0.3">
      <c r="B16" s="34">
        <v>2401</v>
      </c>
      <c r="C16" s="31"/>
      <c r="D16" s="33">
        <f>F41</f>
        <v>3076.95</v>
      </c>
      <c r="E16" s="33"/>
      <c r="F16" s="31"/>
      <c r="G16" s="31"/>
      <c r="H16" s="31"/>
      <c r="I16" s="31"/>
      <c r="L16" t="s">
        <v>257</v>
      </c>
    </row>
    <row r="17" spans="1:17" x14ac:dyDescent="0.3">
      <c r="A17" s="1" t="s">
        <v>83</v>
      </c>
      <c r="B17" s="34"/>
      <c r="C17" s="31"/>
      <c r="D17" s="33"/>
      <c r="E17" s="33"/>
      <c r="F17" s="31"/>
      <c r="G17" s="31"/>
      <c r="H17" s="31"/>
      <c r="I17" s="31"/>
      <c r="L17" t="s">
        <v>258</v>
      </c>
    </row>
    <row r="18" spans="1:17" x14ac:dyDescent="0.3">
      <c r="A18" s="1" t="s">
        <v>84</v>
      </c>
      <c r="B18" s="34"/>
      <c r="C18" s="31"/>
      <c r="D18" s="33"/>
      <c r="E18" s="33"/>
      <c r="F18" s="31"/>
      <c r="G18" s="31"/>
      <c r="H18" s="31"/>
      <c r="I18" s="31"/>
      <c r="L18" t="s">
        <v>259</v>
      </c>
    </row>
    <row r="19" spans="1:17" x14ac:dyDescent="0.3">
      <c r="B19" s="34"/>
      <c r="C19" s="31"/>
      <c r="D19" s="33"/>
      <c r="E19" s="33"/>
      <c r="F19" s="31"/>
      <c r="G19" s="31"/>
      <c r="H19" s="31"/>
      <c r="I19" s="31"/>
      <c r="L19" t="s">
        <v>260</v>
      </c>
      <c r="Q19">
        <f>O2</f>
        <v>2023</v>
      </c>
    </row>
    <row r="20" spans="1:17" x14ac:dyDescent="0.3">
      <c r="B20" s="34"/>
      <c r="C20" s="31"/>
      <c r="D20" s="33"/>
      <c r="E20" s="33"/>
      <c r="F20" s="31"/>
      <c r="G20" s="31"/>
      <c r="H20" s="31"/>
      <c r="I20" s="31"/>
      <c r="L20" t="s">
        <v>261</v>
      </c>
    </row>
    <row r="21" spans="1:17" x14ac:dyDescent="0.3">
      <c r="B21" s="34"/>
      <c r="C21" s="31"/>
      <c r="D21" s="33"/>
      <c r="E21" s="33"/>
      <c r="F21" s="31"/>
      <c r="G21" s="31"/>
      <c r="H21" s="31"/>
      <c r="I21" s="31"/>
      <c r="L21" t="s">
        <v>262</v>
      </c>
    </row>
    <row r="22" spans="1:17" x14ac:dyDescent="0.3">
      <c r="A22" s="4" t="s">
        <v>85</v>
      </c>
      <c r="C22" s="31"/>
      <c r="D22" s="31"/>
      <c r="E22" s="31"/>
      <c r="F22" s="31"/>
      <c r="G22" s="31"/>
      <c r="H22" s="31"/>
      <c r="I22" s="31"/>
    </row>
    <row r="23" spans="1:17" x14ac:dyDescent="0.3">
      <c r="B23" s="31"/>
      <c r="C23" s="31"/>
      <c r="D23" s="31"/>
      <c r="E23" s="31"/>
      <c r="F23" s="31"/>
      <c r="G23" s="31"/>
      <c r="H23" s="31"/>
      <c r="I23" s="31"/>
      <c r="J23" s="31"/>
      <c r="L23" t="s">
        <v>180</v>
      </c>
    </row>
    <row r="24" spans="1:17" x14ac:dyDescent="0.3">
      <c r="A24" s="1" t="s">
        <v>86</v>
      </c>
      <c r="B24" s="31">
        <v>366</v>
      </c>
      <c r="C24">
        <v>2.0914999999999999</v>
      </c>
      <c r="D24" s="31">
        <v>1.4</v>
      </c>
      <c r="E24" s="62">
        <f>765*D24</f>
        <v>1071</v>
      </c>
      <c r="F24" s="1" t="s">
        <v>87</v>
      </c>
      <c r="G24" s="31">
        <v>366</v>
      </c>
      <c r="H24">
        <f>C24</f>
        <v>2.0914999999999999</v>
      </c>
      <c r="I24" s="31">
        <v>1.4</v>
      </c>
      <c r="J24" s="62">
        <f>E24</f>
        <v>1071</v>
      </c>
      <c r="L24" s="80" t="s">
        <v>263</v>
      </c>
    </row>
    <row r="25" spans="1:17" x14ac:dyDescent="0.3">
      <c r="B25" s="31">
        <v>159</v>
      </c>
      <c r="C25">
        <f>C24</f>
        <v>2.0914999999999999</v>
      </c>
      <c r="D25" s="31">
        <v>1.4</v>
      </c>
      <c r="E25" s="62">
        <f>333*D25</f>
        <v>466.2</v>
      </c>
      <c r="G25" s="31">
        <v>159</v>
      </c>
      <c r="H25">
        <f>C24</f>
        <v>2.0914999999999999</v>
      </c>
      <c r="I25" s="31">
        <v>1.4</v>
      </c>
      <c r="J25" s="62">
        <f>E25</f>
        <v>466.2</v>
      </c>
    </row>
    <row r="26" spans="1:17" x14ac:dyDescent="0.3">
      <c r="B26" s="31"/>
      <c r="C26" s="31"/>
      <c r="D26" s="31"/>
      <c r="E26" s="62"/>
      <c r="F26" s="31"/>
      <c r="G26" s="31"/>
      <c r="H26" s="31"/>
      <c r="I26" s="31"/>
      <c r="J26" s="62"/>
      <c r="L26" s="80" t="s">
        <v>265</v>
      </c>
    </row>
    <row r="27" spans="1:17" x14ac:dyDescent="0.3">
      <c r="B27" s="31" t="s">
        <v>88</v>
      </c>
      <c r="C27" s="31">
        <f>D12-A31</f>
        <v>3930.7799999999997</v>
      </c>
      <c r="D27" s="36">
        <f>-E25</f>
        <v>-466.2</v>
      </c>
      <c r="E27" s="62">
        <f>C27+D27</f>
        <v>3464.58</v>
      </c>
      <c r="F27" s="31"/>
      <c r="G27" s="31" t="s">
        <v>88</v>
      </c>
      <c r="H27" s="31">
        <f>H12-G30</f>
        <v>853.82999999999993</v>
      </c>
      <c r="I27" s="31">
        <f>-J25</f>
        <v>-466.2</v>
      </c>
      <c r="J27" s="62">
        <f>H27+I27</f>
        <v>387.62999999999994</v>
      </c>
    </row>
    <row r="28" spans="1:17" x14ac:dyDescent="0.3">
      <c r="B28" s="31"/>
      <c r="C28" s="31"/>
      <c r="D28" s="31"/>
      <c r="E28" s="62"/>
      <c r="F28" s="31"/>
      <c r="G28" s="31"/>
      <c r="H28" s="31"/>
      <c r="I28" s="31"/>
      <c r="J28" s="62"/>
      <c r="L28" t="s">
        <v>264</v>
      </c>
    </row>
    <row r="29" spans="1:17" x14ac:dyDescent="0.3">
      <c r="A29" t="s">
        <v>89</v>
      </c>
      <c r="B29" s="31"/>
      <c r="C29" s="31"/>
      <c r="D29" s="31"/>
      <c r="E29" s="62"/>
      <c r="F29" s="31"/>
      <c r="G29" t="s">
        <v>89</v>
      </c>
      <c r="H29" s="31"/>
      <c r="I29" s="31"/>
      <c r="J29" s="62"/>
    </row>
    <row r="30" spans="1:17" x14ac:dyDescent="0.3">
      <c r="A30">
        <f>4500*40%</f>
        <v>1800</v>
      </c>
      <c r="D30" s="31"/>
      <c r="E30" s="62"/>
      <c r="F30" s="31"/>
      <c r="G30" s="4">
        <f>H12*40%</f>
        <v>569.22</v>
      </c>
      <c r="H30" s="31"/>
      <c r="I30" s="31"/>
      <c r="J30" s="63"/>
      <c r="N30" t="s">
        <v>276</v>
      </c>
    </row>
    <row r="31" spans="1:17" x14ac:dyDescent="0.3">
      <c r="A31" s="4">
        <f>159/3*2*5.37</f>
        <v>569.22</v>
      </c>
      <c r="B31" s="1" t="s">
        <v>90</v>
      </c>
      <c r="D31" s="31"/>
      <c r="E31" s="62"/>
      <c r="F31" s="31"/>
      <c r="G31" s="4">
        <f>H11/3*2*5.37</f>
        <v>569.22</v>
      </c>
      <c r="H31" s="31" t="s">
        <v>91</v>
      </c>
      <c r="I31" s="31"/>
      <c r="J31" s="63"/>
      <c r="N31" t="s">
        <v>277</v>
      </c>
    </row>
    <row r="32" spans="1:17" x14ac:dyDescent="0.3">
      <c r="B32" s="31"/>
      <c r="C32" s="31"/>
      <c r="D32" s="31"/>
      <c r="E32" s="63">
        <f>E24+E25+E27</f>
        <v>5001.78</v>
      </c>
      <c r="F32" s="31"/>
      <c r="G32" s="31"/>
      <c r="H32" s="31"/>
      <c r="I32" s="31"/>
      <c r="J32" s="63">
        <f>J24+J25+J27</f>
        <v>1924.83</v>
      </c>
      <c r="N32" t="s">
        <v>278</v>
      </c>
    </row>
    <row r="33" spans="1:10" x14ac:dyDescent="0.3">
      <c r="B33" s="31"/>
      <c r="C33" t="s">
        <v>275</v>
      </c>
      <c r="E33" s="63">
        <f>-1800</f>
        <v>-1800</v>
      </c>
      <c r="G33" s="31"/>
      <c r="H33" s="31" t="s">
        <v>92</v>
      </c>
      <c r="I33" s="31"/>
      <c r="J33" s="63">
        <v>0</v>
      </c>
    </row>
    <row r="34" spans="1:10" x14ac:dyDescent="0.3">
      <c r="B34" s="31"/>
      <c r="C34" s="1" t="s">
        <v>93</v>
      </c>
      <c r="E34" s="63"/>
      <c r="G34" s="31"/>
      <c r="H34" s="31"/>
      <c r="I34" s="31"/>
      <c r="J34" s="63"/>
    </row>
    <row r="35" spans="1:10" x14ac:dyDescent="0.3">
      <c r="B35" s="31"/>
      <c r="C35" t="s">
        <v>94</v>
      </c>
      <c r="E35" s="65">
        <f>SUM(E32:E34)</f>
        <v>3201.7799999999997</v>
      </c>
      <c r="G35" s="31"/>
      <c r="H35" s="31"/>
      <c r="I35" s="31"/>
      <c r="J35" s="65">
        <f>SUM(J32:J34)</f>
        <v>1924.83</v>
      </c>
    </row>
    <row r="36" spans="1:10" x14ac:dyDescent="0.3">
      <c r="B36" s="31"/>
      <c r="H36" s="31"/>
      <c r="I36" s="31"/>
    </row>
    <row r="37" spans="1:10" x14ac:dyDescent="0.3">
      <c r="B37" s="31"/>
      <c r="C37" s="31"/>
      <c r="D37" s="31"/>
      <c r="E37" s="31"/>
      <c r="G37" s="31"/>
      <c r="H37" s="31"/>
    </row>
    <row r="38" spans="1:10" x14ac:dyDescent="0.3">
      <c r="A38" s="71" t="s">
        <v>95</v>
      </c>
      <c r="B38" s="56"/>
      <c r="C38" s="56"/>
      <c r="D38" s="56"/>
      <c r="E38" s="56"/>
      <c r="F38" s="56"/>
      <c r="G38" s="56"/>
      <c r="H38" s="56"/>
      <c r="I38" s="56"/>
    </row>
    <row r="39" spans="1:10" x14ac:dyDescent="0.3">
      <c r="A39" s="71" t="s">
        <v>96</v>
      </c>
      <c r="B39" s="56"/>
      <c r="C39" s="72">
        <f>1500/2/2</f>
        <v>375</v>
      </c>
      <c r="D39" s="72">
        <v>12</v>
      </c>
      <c r="E39" s="72"/>
      <c r="F39" s="72">
        <f>C39*D39</f>
        <v>4500</v>
      </c>
      <c r="G39" s="56"/>
      <c r="H39" s="56"/>
      <c r="I39" s="56"/>
    </row>
    <row r="40" spans="1:10" x14ac:dyDescent="0.3">
      <c r="A40" s="71" t="s">
        <v>97</v>
      </c>
      <c r="B40" s="56"/>
      <c r="C40" s="72">
        <f>636/2/2</f>
        <v>159</v>
      </c>
      <c r="D40" s="72">
        <f>5/3</f>
        <v>1.6666666666666667</v>
      </c>
      <c r="E40" s="72"/>
      <c r="F40" s="72">
        <v>5.37</v>
      </c>
      <c r="G40" s="72">
        <f>C40*D40*F40</f>
        <v>1423.05</v>
      </c>
      <c r="H40" s="56"/>
      <c r="I40" s="56"/>
    </row>
    <row r="41" spans="1:10" x14ac:dyDescent="0.3">
      <c r="A41" s="71" t="s">
        <v>98</v>
      </c>
      <c r="B41" s="56"/>
      <c r="C41" s="56"/>
      <c r="D41" s="56"/>
      <c r="E41" s="56"/>
      <c r="F41" s="72">
        <f>F39-G40</f>
        <v>3076.95</v>
      </c>
      <c r="G41" s="56" t="s">
        <v>279</v>
      </c>
      <c r="H41" s="56"/>
      <c r="I41" s="56"/>
    </row>
    <row r="42" spans="1:10" x14ac:dyDescent="0.3">
      <c r="A42" s="56"/>
      <c r="B42" s="56"/>
      <c r="C42" s="56"/>
      <c r="D42" s="56"/>
      <c r="E42" s="56"/>
      <c r="F42" s="56"/>
      <c r="G42" s="56"/>
      <c r="H42" s="56"/>
      <c r="I42" s="56"/>
    </row>
    <row r="43" spans="1:10" x14ac:dyDescent="0.3">
      <c r="A43" s="56"/>
      <c r="B43" s="56"/>
      <c r="C43" s="56"/>
      <c r="D43" s="56"/>
      <c r="E43" s="56"/>
      <c r="F43" s="56"/>
      <c r="G43" s="56"/>
      <c r="H43" s="56"/>
      <c r="I43" s="56"/>
    </row>
  </sheetData>
  <pageMargins left="0.7" right="0.7" top="0.75" bottom="0.75" header="0.3" footer="0.3"/>
  <pageSetup paperSize="9" orientation="portrait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C2BC0-B471-45F6-811A-6A7CD713627A}">
  <dimension ref="A1:N44"/>
  <sheetViews>
    <sheetView topLeftCell="A9" workbookViewId="0">
      <selection activeCell="D24" sqref="D24"/>
    </sheetView>
  </sheetViews>
  <sheetFormatPr defaultRowHeight="14.4" x14ac:dyDescent="0.3"/>
  <cols>
    <col min="2" max="2" width="11.5546875" customWidth="1"/>
    <col min="3" max="3" width="19.6640625" customWidth="1"/>
    <col min="10" max="10" width="80.88671875" customWidth="1"/>
  </cols>
  <sheetData>
    <row r="1" spans="1:14" ht="18" x14ac:dyDescent="0.35">
      <c r="A1" s="4" t="s">
        <v>99</v>
      </c>
      <c r="J1" s="73" t="s">
        <v>207</v>
      </c>
      <c r="K1" s="74">
        <v>2023</v>
      </c>
      <c r="L1" s="74" t="s">
        <v>151</v>
      </c>
      <c r="M1" s="74">
        <v>2024</v>
      </c>
    </row>
    <row r="2" spans="1:14" ht="17.399999999999999" x14ac:dyDescent="0.3">
      <c r="J2" s="37"/>
    </row>
    <row r="3" spans="1:14" ht="15.6" x14ac:dyDescent="0.3">
      <c r="A3" t="s">
        <v>101</v>
      </c>
      <c r="C3">
        <f>C5+C8+C9</f>
        <v>89500</v>
      </c>
      <c r="J3" s="38" t="s">
        <v>100</v>
      </c>
      <c r="K3" s="38">
        <v>50000</v>
      </c>
      <c r="L3" s="12" t="s">
        <v>212</v>
      </c>
      <c r="M3" s="1" t="s">
        <v>103</v>
      </c>
      <c r="N3" s="1" t="s">
        <v>104</v>
      </c>
    </row>
    <row r="4" spans="1:14" ht="15.6" x14ac:dyDescent="0.3">
      <c r="J4" s="38" t="s">
        <v>102</v>
      </c>
    </row>
    <row r="5" spans="1:14" ht="15.6" x14ac:dyDescent="0.3">
      <c r="A5" t="s">
        <v>106</v>
      </c>
      <c r="C5">
        <v>8500</v>
      </c>
      <c r="J5" s="38" t="s">
        <v>105</v>
      </c>
    </row>
    <row r="6" spans="1:14" ht="15.6" x14ac:dyDescent="0.3">
      <c r="J6" s="38" t="s">
        <v>107</v>
      </c>
    </row>
    <row r="7" spans="1:14" ht="15.6" x14ac:dyDescent="0.3">
      <c r="A7" t="s">
        <v>109</v>
      </c>
      <c r="J7" s="38" t="s">
        <v>108</v>
      </c>
    </row>
    <row r="8" spans="1:14" ht="15.6" x14ac:dyDescent="0.3">
      <c r="B8" t="s">
        <v>111</v>
      </c>
      <c r="C8">
        <v>12000</v>
      </c>
      <c r="J8" s="38" t="s">
        <v>110</v>
      </c>
    </row>
    <row r="9" spans="1:14" ht="15.6" x14ac:dyDescent="0.3">
      <c r="B9" t="s">
        <v>113</v>
      </c>
      <c r="C9">
        <v>69000</v>
      </c>
      <c r="E9" s="8">
        <f>C9/C3</f>
        <v>0.77094972067039103</v>
      </c>
      <c r="F9" t="s">
        <v>270</v>
      </c>
      <c r="J9" s="38" t="s">
        <v>112</v>
      </c>
    </row>
    <row r="10" spans="1:14" ht="15.6" x14ac:dyDescent="0.3">
      <c r="J10" s="38" t="s">
        <v>114</v>
      </c>
    </row>
    <row r="11" spans="1:14" ht="15.6" x14ac:dyDescent="0.3">
      <c r="A11" t="s">
        <v>116</v>
      </c>
      <c r="D11" t="s">
        <v>117</v>
      </c>
      <c r="E11">
        <v>50000</v>
      </c>
      <c r="J11" s="38" t="s">
        <v>115</v>
      </c>
    </row>
    <row r="12" spans="1:14" ht="15.6" x14ac:dyDescent="0.3">
      <c r="D12" t="s">
        <v>119</v>
      </c>
      <c r="E12">
        <f>E11*21%</f>
        <v>10500</v>
      </c>
      <c r="J12" s="38" t="s">
        <v>118</v>
      </c>
    </row>
    <row r="13" spans="1:14" ht="15.6" x14ac:dyDescent="0.3">
      <c r="J13" s="38" t="s">
        <v>120</v>
      </c>
    </row>
    <row r="14" spans="1:14" ht="15.6" x14ac:dyDescent="0.3">
      <c r="A14" s="39" t="s">
        <v>122</v>
      </c>
      <c r="J14" s="38" t="s">
        <v>121</v>
      </c>
    </row>
    <row r="15" spans="1:14" ht="15.6" x14ac:dyDescent="0.3">
      <c r="J15" s="38"/>
    </row>
    <row r="16" spans="1:14" x14ac:dyDescent="0.3">
      <c r="C16" s="1" t="s">
        <v>211</v>
      </c>
      <c r="D16" t="s">
        <v>123</v>
      </c>
      <c r="F16" t="s">
        <v>124</v>
      </c>
      <c r="K16" s="1" t="s">
        <v>126</v>
      </c>
    </row>
    <row r="17" spans="1:12" ht="15.6" x14ac:dyDescent="0.3">
      <c r="A17" s="40" t="s">
        <v>127</v>
      </c>
      <c r="C17" s="11">
        <f>E11*E9</f>
        <v>38547.486033519548</v>
      </c>
      <c r="D17" s="11">
        <f>E12*(E9-50%)</f>
        <v>2844.9720670391057</v>
      </c>
      <c r="F17">
        <f>C17+D17</f>
        <v>41392.458100558651</v>
      </c>
      <c r="J17" s="38" t="s">
        <v>125</v>
      </c>
      <c r="K17" s="42" t="s">
        <v>128</v>
      </c>
      <c r="L17" s="20"/>
    </row>
    <row r="18" spans="1:12" ht="15.6" x14ac:dyDescent="0.3">
      <c r="A18" s="12" t="s">
        <v>129</v>
      </c>
      <c r="F18" s="12" t="s">
        <v>130</v>
      </c>
      <c r="G18" s="63">
        <f>F17*20%</f>
        <v>8278.4916201117303</v>
      </c>
      <c r="J18" s="41">
        <f>120%-(0.5%*1*110)</f>
        <v>0.64999999999999991</v>
      </c>
    </row>
    <row r="19" spans="1:12" x14ac:dyDescent="0.3">
      <c r="G19" s="64"/>
    </row>
    <row r="20" spans="1:12" x14ac:dyDescent="0.3">
      <c r="A20" s="40" t="s">
        <v>132</v>
      </c>
      <c r="G20" s="64"/>
      <c r="J20" s="1" t="s">
        <v>131</v>
      </c>
      <c r="K20" s="9">
        <v>0.4</v>
      </c>
    </row>
    <row r="21" spans="1:12" x14ac:dyDescent="0.3">
      <c r="A21">
        <v>780</v>
      </c>
      <c r="C21" s="11">
        <f>A21*E9</f>
        <v>601.34078212290501</v>
      </c>
      <c r="G21" s="63">
        <f>C21</f>
        <v>601.34078212290501</v>
      </c>
    </row>
    <row r="22" spans="1:12" x14ac:dyDescent="0.3">
      <c r="G22" s="63"/>
    </row>
    <row r="23" spans="1:12" x14ac:dyDescent="0.3">
      <c r="A23" s="40" t="s">
        <v>133</v>
      </c>
      <c r="C23" s="1"/>
      <c r="G23" s="64"/>
    </row>
    <row r="24" spans="1:12" x14ac:dyDescent="0.3">
      <c r="A24">
        <v>1300</v>
      </c>
      <c r="C24" s="11">
        <f>A24*E9</f>
        <v>1002.2346368715083</v>
      </c>
      <c r="D24" s="11">
        <f>B25*(E9-50%)</f>
        <v>73.969273743016757</v>
      </c>
      <c r="G24" s="63">
        <f>C24+D24</f>
        <v>1076.2039106145251</v>
      </c>
    </row>
    <row r="25" spans="1:12" x14ac:dyDescent="0.3">
      <c r="A25" t="s">
        <v>134</v>
      </c>
      <c r="B25">
        <f>A24*21%</f>
        <v>273</v>
      </c>
      <c r="G25" s="64"/>
    </row>
    <row r="26" spans="1:12" x14ac:dyDescent="0.3">
      <c r="G26" s="64"/>
    </row>
    <row r="27" spans="1:12" x14ac:dyDescent="0.3">
      <c r="A27" s="40" t="s">
        <v>135</v>
      </c>
      <c r="G27" s="64"/>
    </row>
    <row r="28" spans="1:12" x14ac:dyDescent="0.3">
      <c r="A28">
        <v>1250</v>
      </c>
      <c r="C28" s="11">
        <f>A28*E9</f>
        <v>963.68715083798884</v>
      </c>
      <c r="G28" s="63">
        <f>C28</f>
        <v>963.68715083798884</v>
      </c>
    </row>
    <row r="29" spans="1:12" x14ac:dyDescent="0.3">
      <c r="G29" s="64"/>
    </row>
    <row r="30" spans="1:12" x14ac:dyDescent="0.3">
      <c r="G30" s="64">
        <f>SUM(G18:G28)</f>
        <v>10919.723463687149</v>
      </c>
      <c r="H30" s="10"/>
      <c r="I30" s="1"/>
    </row>
    <row r="32" spans="1:12" x14ac:dyDescent="0.3">
      <c r="D32" s="43" t="s">
        <v>136</v>
      </c>
      <c r="E32" s="44"/>
      <c r="F32" s="44"/>
      <c r="G32" s="44">
        <f>G30*K20</f>
        <v>4367.8893854748594</v>
      </c>
      <c r="I32" s="45" t="s">
        <v>137</v>
      </c>
    </row>
    <row r="34" spans="1:9" x14ac:dyDescent="0.3">
      <c r="A34" s="40" t="s">
        <v>138</v>
      </c>
    </row>
    <row r="35" spans="1:9" x14ac:dyDescent="0.3">
      <c r="A35">
        <v>4600</v>
      </c>
      <c r="C35" s="11">
        <f>A35*E9</f>
        <v>3546.3687150837986</v>
      </c>
      <c r="D35" s="11">
        <f>B36*(E9-50%)</f>
        <v>261.73743016759772</v>
      </c>
      <c r="G35" s="11">
        <f>C35+D35</f>
        <v>3808.1061452513964</v>
      </c>
      <c r="H35" s="10"/>
    </row>
    <row r="36" spans="1:9" x14ac:dyDescent="0.3">
      <c r="A36" t="s">
        <v>134</v>
      </c>
      <c r="B36">
        <f>A35*21%</f>
        <v>966</v>
      </c>
    </row>
    <row r="37" spans="1:9" x14ac:dyDescent="0.3">
      <c r="D37" s="43" t="s">
        <v>136</v>
      </c>
      <c r="E37" s="44"/>
      <c r="F37" s="44"/>
      <c r="G37" s="44">
        <f>G35*K20</f>
        <v>1523.2424581005587</v>
      </c>
      <c r="I37" s="1"/>
    </row>
    <row r="40" spans="1:9" x14ac:dyDescent="0.3">
      <c r="A40" s="39" t="s">
        <v>139</v>
      </c>
    </row>
    <row r="41" spans="1:9" x14ac:dyDescent="0.3">
      <c r="C41">
        <v>12000</v>
      </c>
      <c r="D41" s="12" t="s">
        <v>267</v>
      </c>
      <c r="E41">
        <v>0.15</v>
      </c>
      <c r="G41" s="44">
        <f>C41*E41</f>
        <v>1800</v>
      </c>
    </row>
    <row r="43" spans="1:9" ht="15" thickBot="1" x14ac:dyDescent="0.35"/>
    <row r="44" spans="1:9" ht="15" thickBot="1" x14ac:dyDescent="0.35">
      <c r="A44" s="39" t="s">
        <v>140</v>
      </c>
      <c r="G44" s="46">
        <f>G32+G37+G41</f>
        <v>7691.1318435754183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FF2AA-7012-45D0-8FB8-64220D0FF615}">
  <dimension ref="A1:S28"/>
  <sheetViews>
    <sheetView workbookViewId="0">
      <selection activeCell="I19" sqref="I19"/>
    </sheetView>
  </sheetViews>
  <sheetFormatPr defaultRowHeight="14.4" x14ac:dyDescent="0.3"/>
  <cols>
    <col min="1" max="1" width="12.6640625" customWidth="1"/>
    <col min="5" max="5" width="11.33203125" customWidth="1"/>
    <col min="8" max="8" width="12.44140625" customWidth="1"/>
    <col min="11" max="11" width="9.77734375" customWidth="1"/>
  </cols>
  <sheetData>
    <row r="1" spans="1:19" ht="18" x14ac:dyDescent="0.35">
      <c r="A1" s="47" t="s">
        <v>141</v>
      </c>
      <c r="B1" s="47"/>
      <c r="C1" s="11"/>
      <c r="D1" s="11"/>
      <c r="E1" s="11"/>
      <c r="F1" s="11"/>
      <c r="G1" s="11"/>
      <c r="H1" s="11"/>
      <c r="I1" s="11"/>
      <c r="J1" s="75" t="s">
        <v>223</v>
      </c>
      <c r="K1" s="76"/>
      <c r="L1" s="75">
        <v>2023</v>
      </c>
      <c r="M1" s="76" t="s">
        <v>224</v>
      </c>
      <c r="N1" s="75">
        <v>2024</v>
      </c>
      <c r="O1" s="11"/>
      <c r="P1" s="11"/>
      <c r="Q1" s="11"/>
      <c r="R1" s="11"/>
    </row>
    <row r="2" spans="1:19" x14ac:dyDescent="0.3">
      <c r="A2" s="11" t="s">
        <v>142</v>
      </c>
      <c r="B2" s="11"/>
      <c r="C2" s="48" t="s">
        <v>143</v>
      </c>
      <c r="D2" s="11"/>
      <c r="E2" s="11"/>
      <c r="F2" s="11"/>
      <c r="G2" s="11"/>
      <c r="H2" s="11"/>
      <c r="I2" s="11"/>
      <c r="K2" s="11"/>
      <c r="L2" s="11"/>
      <c r="M2" s="11"/>
      <c r="N2" s="11"/>
      <c r="O2" s="11"/>
      <c r="P2" s="11"/>
      <c r="Q2" s="11"/>
      <c r="R2" s="11"/>
    </row>
    <row r="3" spans="1:19" x14ac:dyDescent="0.3">
      <c r="A3" s="11"/>
      <c r="B3" s="11"/>
      <c r="C3" s="11"/>
      <c r="D3" s="11"/>
      <c r="E3" s="11"/>
      <c r="F3" s="11"/>
      <c r="G3" s="11"/>
      <c r="H3" s="11"/>
      <c r="I3" s="11"/>
      <c r="J3" s="11" t="s">
        <v>213</v>
      </c>
      <c r="K3" s="11"/>
      <c r="L3" s="11"/>
      <c r="M3" s="11"/>
      <c r="N3" s="11"/>
      <c r="O3" s="11"/>
      <c r="P3" s="11"/>
      <c r="Q3" s="11"/>
      <c r="R3" s="11"/>
    </row>
    <row r="4" spans="1:19" x14ac:dyDescent="0.3">
      <c r="A4" s="11"/>
      <c r="B4" s="11"/>
      <c r="C4" s="11"/>
      <c r="D4" s="11"/>
      <c r="E4" s="23">
        <v>210000</v>
      </c>
      <c r="F4" s="11" t="s">
        <v>144</v>
      </c>
      <c r="G4" s="11"/>
      <c r="H4" s="49">
        <v>44959</v>
      </c>
      <c r="I4" s="11"/>
      <c r="J4" s="11" t="s">
        <v>214</v>
      </c>
      <c r="K4" s="11"/>
      <c r="L4" s="11"/>
      <c r="M4" s="11"/>
      <c r="N4" s="11"/>
      <c r="O4" s="11"/>
      <c r="P4" s="11"/>
      <c r="Q4" s="11"/>
      <c r="R4" s="11"/>
    </row>
    <row r="5" spans="1:19" x14ac:dyDescent="0.3">
      <c r="A5" s="11"/>
      <c r="B5" s="11"/>
      <c r="C5" s="11"/>
      <c r="D5" s="11"/>
      <c r="E5" s="11">
        <f>-H5*0.03</f>
        <v>-4500</v>
      </c>
      <c r="F5" s="48" t="s">
        <v>145</v>
      </c>
      <c r="G5" s="11"/>
      <c r="H5" s="11">
        <v>150000</v>
      </c>
      <c r="I5" s="11"/>
      <c r="J5" s="11" t="s">
        <v>215</v>
      </c>
      <c r="K5" s="11"/>
      <c r="L5" s="11"/>
      <c r="M5" s="11"/>
      <c r="N5" s="11"/>
      <c r="O5" s="11"/>
      <c r="P5" s="11"/>
      <c r="Q5" s="11"/>
      <c r="R5" s="11"/>
    </row>
    <row r="6" spans="1:19" x14ac:dyDescent="0.3">
      <c r="A6" s="11">
        <v>110000</v>
      </c>
      <c r="B6" s="48" t="s">
        <v>221</v>
      </c>
      <c r="C6" s="11"/>
      <c r="D6" s="11"/>
      <c r="E6" s="11">
        <f>SUM(E4:E5)</f>
        <v>205500</v>
      </c>
      <c r="F6" s="11"/>
      <c r="G6" s="11"/>
      <c r="H6" s="11"/>
      <c r="I6" s="11"/>
      <c r="J6" s="11" t="s">
        <v>216</v>
      </c>
      <c r="K6" s="11"/>
      <c r="L6" s="11"/>
      <c r="M6" s="11"/>
      <c r="N6" s="11"/>
      <c r="O6" s="11"/>
      <c r="P6" s="11"/>
      <c r="Q6" s="11"/>
      <c r="R6" s="11"/>
    </row>
    <row r="7" spans="1:19" x14ac:dyDescent="0.3">
      <c r="A7" s="50">
        <f>A6*25%</f>
        <v>27500</v>
      </c>
      <c r="B7" s="8">
        <v>0.25</v>
      </c>
      <c r="C7" s="11" t="s">
        <v>271</v>
      </c>
      <c r="D7" s="11"/>
      <c r="E7" s="11"/>
      <c r="F7" s="11"/>
      <c r="G7" s="11"/>
      <c r="H7" s="11"/>
      <c r="I7" s="11"/>
      <c r="J7" s="11" t="s">
        <v>217</v>
      </c>
      <c r="K7" s="11"/>
      <c r="L7" s="11"/>
      <c r="M7" s="11"/>
      <c r="N7" s="11"/>
      <c r="O7" s="11"/>
      <c r="P7" s="11"/>
      <c r="Q7" s="11"/>
      <c r="R7" s="11"/>
    </row>
    <row r="8" spans="1:19" x14ac:dyDescent="0.3">
      <c r="A8" s="11">
        <f>SUM(A6:A7)</f>
        <v>137500</v>
      </c>
      <c r="B8" s="11"/>
      <c r="C8" s="11"/>
      <c r="D8" s="11"/>
      <c r="E8" s="11"/>
      <c r="F8" s="11"/>
      <c r="G8" s="11"/>
      <c r="H8" s="11"/>
      <c r="I8" s="11"/>
      <c r="J8" s="11" t="s">
        <v>218</v>
      </c>
      <c r="K8" s="11"/>
      <c r="L8" s="11"/>
      <c r="M8" s="11"/>
      <c r="N8" s="11"/>
      <c r="O8" s="11"/>
      <c r="P8" s="11"/>
      <c r="Q8" s="11"/>
      <c r="R8" s="11"/>
    </row>
    <row r="9" spans="1:19" x14ac:dyDescent="0.3">
      <c r="A9" s="50">
        <f>A8*5*5%</f>
        <v>34375</v>
      </c>
      <c r="B9" s="51" t="s">
        <v>268</v>
      </c>
      <c r="C9" s="11"/>
      <c r="D9" s="11"/>
      <c r="E9" s="11"/>
      <c r="F9" s="11"/>
      <c r="G9" s="11"/>
      <c r="H9" s="11"/>
      <c r="I9" s="11"/>
      <c r="J9" s="11" t="s">
        <v>219</v>
      </c>
      <c r="K9" s="11"/>
      <c r="L9" s="11"/>
      <c r="M9" s="11"/>
      <c r="N9" s="11"/>
      <c r="O9" s="11"/>
      <c r="P9" s="11"/>
      <c r="Q9" s="11"/>
      <c r="R9" s="11"/>
    </row>
    <row r="10" spans="1:19" x14ac:dyDescent="0.3">
      <c r="A10" s="11">
        <f>SUM(A8:A9)</f>
        <v>171875</v>
      </c>
      <c r="B10" s="11"/>
      <c r="C10" s="11"/>
      <c r="D10" s="11"/>
      <c r="E10" s="50">
        <f>-A10</f>
        <v>-171875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</row>
    <row r="11" spans="1:19" x14ac:dyDescent="0.3">
      <c r="A11" s="11"/>
      <c r="B11" s="11"/>
      <c r="C11" s="11"/>
      <c r="D11" s="11"/>
      <c r="E11" s="11">
        <f>SUM(E6:E10)</f>
        <v>33625</v>
      </c>
      <c r="F11" s="11"/>
      <c r="G11" s="11"/>
      <c r="H11" s="11"/>
      <c r="I11" s="11"/>
      <c r="J11" s="11" t="s">
        <v>220</v>
      </c>
      <c r="K11" s="11"/>
      <c r="L11" s="11"/>
      <c r="M11" s="11"/>
      <c r="N11" s="11"/>
      <c r="O11" s="11"/>
      <c r="P11" s="11"/>
      <c r="Q11" s="11"/>
      <c r="R11" s="11"/>
      <c r="S11" s="11"/>
    </row>
    <row r="12" spans="1:19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</row>
    <row r="13" spans="1:19" x14ac:dyDescent="0.3">
      <c r="A13" s="23" t="s">
        <v>269</v>
      </c>
      <c r="B13" s="11"/>
      <c r="C13" s="11"/>
      <c r="D13" s="11"/>
      <c r="E13" s="11">
        <f>E11</f>
        <v>33625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</row>
    <row r="14" spans="1:19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pans="1:19" x14ac:dyDescent="0.3">
      <c r="A15" s="48" t="s">
        <v>222</v>
      </c>
      <c r="B15" s="11"/>
      <c r="C15" s="52">
        <v>0.16500000000000001</v>
      </c>
      <c r="D15" s="51" t="s">
        <v>146</v>
      </c>
      <c r="E15" s="48" t="s">
        <v>147</v>
      </c>
      <c r="F15" s="11">
        <f>E13*C15</f>
        <v>5548.125</v>
      </c>
      <c r="G15" s="11"/>
      <c r="H15" s="11"/>
      <c r="I15" s="11"/>
      <c r="J15" s="11" t="s">
        <v>193</v>
      </c>
      <c r="K15" s="11"/>
      <c r="L15" s="11"/>
      <c r="M15" s="11"/>
      <c r="N15" s="11"/>
      <c r="O15" s="11"/>
      <c r="P15" s="11"/>
      <c r="Q15" s="11"/>
      <c r="R15" s="11"/>
      <c r="S15" s="11"/>
    </row>
    <row r="16" spans="1:19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1" t="s">
        <v>226</v>
      </c>
      <c r="K16" s="11"/>
      <c r="L16" s="11"/>
      <c r="M16" s="11"/>
      <c r="N16" s="11"/>
      <c r="O16" s="11"/>
      <c r="P16" s="11"/>
      <c r="Q16" s="11"/>
      <c r="R16" s="11"/>
      <c r="S16" s="11"/>
    </row>
    <row r="17" spans="1:19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 t="s">
        <v>225</v>
      </c>
      <c r="K17" s="11"/>
      <c r="L17" s="11"/>
      <c r="M17" s="11"/>
      <c r="N17" s="11"/>
      <c r="O17" s="11"/>
      <c r="P17" s="11"/>
      <c r="Q17" s="11"/>
      <c r="R17" s="11"/>
      <c r="S17" s="11"/>
    </row>
    <row r="18" spans="1:19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</row>
    <row r="19" spans="1:19" x14ac:dyDescent="0.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</row>
    <row r="20" spans="1:19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</row>
    <row r="21" spans="1:19" x14ac:dyDescent="0.3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</row>
    <row r="22" spans="1:19" x14ac:dyDescent="0.3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</row>
    <row r="23" spans="1:19" x14ac:dyDescent="0.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</row>
    <row r="24" spans="1:19" x14ac:dyDescent="0.3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</row>
    <row r="25" spans="1:19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 spans="1:19" x14ac:dyDescent="0.3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</row>
    <row r="27" spans="1:19" x14ac:dyDescent="0.3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</row>
    <row r="28" spans="1:19" x14ac:dyDescent="0.3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f58bec8-646d-40b6-a7d0-b847fdf4e17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5BA359BA312D49B2EB0A0181D7CDE2" ma:contentTypeVersion="18" ma:contentTypeDescription="Een nieuw document maken." ma:contentTypeScope="" ma:versionID="9453bcfab392c60fbbf198bb64f8502d">
  <xsd:schema xmlns:xsd="http://www.w3.org/2001/XMLSchema" xmlns:xs="http://www.w3.org/2001/XMLSchema" xmlns:p="http://schemas.microsoft.com/office/2006/metadata/properties" xmlns:ns3="ef58bec8-646d-40b6-a7d0-b847fdf4e174" xmlns:ns4="6ffa28ab-f4e9-4646-b1c8-1ed7cbec7b44" targetNamespace="http://schemas.microsoft.com/office/2006/metadata/properties" ma:root="true" ma:fieldsID="3dd609ab61611a32e58975b9dce302f4" ns3:_="" ns4:_="">
    <xsd:import namespace="ef58bec8-646d-40b6-a7d0-b847fdf4e174"/>
    <xsd:import namespace="6ffa28ab-f4e9-4646-b1c8-1ed7cbec7b4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58bec8-646d-40b6-a7d0-b847fdf4e1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fa28ab-f4e9-4646-b1c8-1ed7cbec7b4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Hint-hash delen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D8BBB9-1D93-4E04-8375-7D9BAEBCBD54}">
  <ds:schemaRefs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purl.org/dc/elements/1.1/"/>
    <ds:schemaRef ds:uri="ef58bec8-646d-40b6-a7d0-b847fdf4e174"/>
    <ds:schemaRef ds:uri="http://www.w3.org/XML/1998/namespace"/>
    <ds:schemaRef ds:uri="http://schemas.openxmlformats.org/package/2006/metadata/core-properties"/>
    <ds:schemaRef ds:uri="6ffa28ab-f4e9-4646-b1c8-1ed7cbec7b44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1CE0D85-27A8-4531-BE5B-B32ABC027FD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966095-1BA9-43FF-9257-C9CB004B88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58bec8-646d-40b6-a7d0-b847fdf4e174"/>
    <ds:schemaRef ds:uri="6ffa28ab-f4e9-4646-b1c8-1ed7cbec7b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vraag1</vt:lpstr>
      <vt:lpstr>vraag2</vt:lpstr>
      <vt:lpstr>vraag3</vt:lpstr>
      <vt:lpstr>Vraag4</vt:lpstr>
      <vt:lpstr>Vraag5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Elke De Blauwe</dc:creator>
  <cp:lastModifiedBy>Elke De Blauwe</cp:lastModifiedBy>
  <dcterms:created xsi:type="dcterms:W3CDTF">2024-07-02T09:01:03Z</dcterms:created>
  <dcterms:modified xsi:type="dcterms:W3CDTF">2026-04-03T06:09:47Z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0x0101007D5BA359BA312D49B2EB0A0181D7CDE2</vt:lpwstr>
  </property>
</Properties>
</file>
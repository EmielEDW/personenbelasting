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gent-my.sharepoint.com/personal/elke_deblauwe_hogent_be/Documents/ALLE VAKKEN USB12-10-2020/GA NAAR VAKKEN  ELKE/PERSONENBELASTING PB/PB 2025-2026/OPL HANDBOEK/"/>
    </mc:Choice>
  </mc:AlternateContent>
  <xr:revisionPtr revIDLastSave="97" documentId="8_{FD621ED7-B9C3-4684-8E4B-9658B0688FB6}" xr6:coauthVersionLast="47" xr6:coauthVersionMax="47" xr10:uidLastSave="{A1737984-4CBD-4C10-98D0-988762D37215}"/>
  <bookViews>
    <workbookView xWindow="-108" yWindow="-108" windowWidth="23256" windowHeight="12456" activeTab="4" xr2:uid="{D17FE1E4-DA4A-4704-A917-C0F3489238D7}"/>
  </bookViews>
  <sheets>
    <sheet name="oef 1" sheetId="1" r:id="rId1"/>
    <sheet name="oef 2" sheetId="2" r:id="rId2"/>
    <sheet name="oef 3" sheetId="3" r:id="rId3"/>
    <sheet name="oef 4" sheetId="4" r:id="rId4"/>
    <sheet name="oef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3" l="1"/>
  <c r="G35" i="3"/>
  <c r="E35" i="3"/>
  <c r="C35" i="3"/>
  <c r="B32" i="3"/>
  <c r="B30" i="3"/>
  <c r="B29" i="3"/>
  <c r="B28" i="3"/>
  <c r="G25" i="3"/>
  <c r="A9" i="1"/>
  <c r="A7" i="1"/>
  <c r="A8" i="1" s="1"/>
  <c r="E5" i="1"/>
  <c r="E6" i="1" s="1"/>
  <c r="A10" i="1" l="1"/>
  <c r="E10" i="1" s="1"/>
  <c r="E11" i="1" s="1"/>
  <c r="E13" i="1" s="1"/>
  <c r="F15" i="1" s="1"/>
</calcChain>
</file>

<file path=xl/sharedStrings.xml><?xml version="1.0" encoding="utf-8"?>
<sst xmlns="http://schemas.openxmlformats.org/spreadsheetml/2006/main" count="53" uniqueCount="53">
  <si>
    <t>Oplossing voor IJ</t>
  </si>
  <si>
    <t>Aj</t>
  </si>
  <si>
    <t>belastbaarheid ?</t>
  </si>
  <si>
    <t>ja want verkoop binnen de 8 jaar! Datum compromis telt</t>
  </si>
  <si>
    <t>datum compromis:</t>
  </si>
  <si>
    <t>makelaarskosten op</t>
  </si>
  <si>
    <t>Makelaarsloon 3%</t>
  </si>
  <si>
    <t>forfaitair</t>
  </si>
  <si>
    <t>1)Aangifte en bijhorende berekening</t>
  </si>
  <si>
    <t>2)hoeveel bedraagt de belasting?</t>
  </si>
  <si>
    <t>meerwaarde in vak XVI code 1206</t>
  </si>
  <si>
    <t>belasting =</t>
  </si>
  <si>
    <t>(!)</t>
  </si>
  <si>
    <t>dus:</t>
  </si>
  <si>
    <t>Tip:</t>
  </si>
  <si>
    <t>bij verkoop gronden is de datum van verkrijging= datum akte en de datum van vervreemding = datum compromis</t>
  </si>
  <si>
    <t>bij verkoop gebouwen is de datum van verkrijging/vervreemding = de datum van de authentieke akte</t>
  </si>
  <si>
    <t>86000,00 euro(registratiewaarde 125000,00 euro)</t>
  </si>
  <si>
    <t xml:space="preserve">Extra oefening op belasting op meerwaarde gronden </t>
  </si>
  <si>
    <t>Een BP kocht op 19-05-2016 (datum van authentieke akte) een terrein aan van</t>
  </si>
  <si>
    <t>Gevraagd :</t>
  </si>
  <si>
    <t>Op 01-05-2024 (datum compromis) is het terrein verkocht voor 180000,00 euro (akte 5-6-2024)</t>
  </si>
  <si>
    <t>Registratiewaarde van de verkoop 250000,00 euro</t>
  </si>
  <si>
    <t>datum auth akte 19-05-2016</t>
  </si>
  <si>
    <t>7 x 5%</t>
  </si>
  <si>
    <t xml:space="preserve">We zitten nu in inkomsten jaar 2026 </t>
  </si>
  <si>
    <t>Voor de aangifte van onze klant Michael Verstraeten</t>
  </si>
  <si>
    <t>Hij heeft deze grond verworven door een schenking van zijn papa op 19-08-2025</t>
  </si>
  <si>
    <t>Mr Verstraeten verkoopt een terrein op datum van 1-12-2026 voor 550000 euro.</t>
  </si>
  <si>
    <t>Theorie :</t>
  </si>
  <si>
    <t>De papa van Mr Verstraeten had oorspronkelijk zelf het terrein aangekocht op 2-8-2017 voor 150000 euro</t>
  </si>
  <si>
    <t xml:space="preserve">In dit geval is de meerwaarde vrij van belasting omdat de schenker </t>
  </si>
  <si>
    <t>het terrein reeds 8 jaar in zijn bezit had. De Papa heeft gewacht</t>
  </si>
  <si>
    <t>tot na 2-8-2025 om te verkopen</t>
  </si>
  <si>
    <t>Bepaal of er belastbaarheid op de meerwaarde is en leg dit uit ------------------&gt;</t>
  </si>
  <si>
    <t>Aankoopwaarde</t>
  </si>
  <si>
    <t>Verkoopwaarde</t>
  </si>
  <si>
    <t>(3%)</t>
  </si>
  <si>
    <t>5%x5j dat compromis</t>
  </si>
  <si>
    <t>=</t>
  </si>
  <si>
    <t xml:space="preserve">Meerwaarde = </t>
  </si>
  <si>
    <t>-</t>
  </si>
  <si>
    <t>Hij kocht deze woning voor 290000,00 euro op 15-1-2021</t>
  </si>
  <si>
    <t>Gegeven situatie :</t>
  </si>
  <si>
    <t>Gevraagd : is deze meerwaarde die de BP realiseert belastbaar ? Zo ja waar moet dit aangegeven worden in de aangifte ?</t>
  </si>
  <si>
    <t>Antwoord :</t>
  </si>
  <si>
    <t xml:space="preserve">De spertijd voor verkoop van gebouwen in België is 5 jaar, doch het betreft hier de verkoop van zijn "eigen" woning </t>
  </si>
  <si>
    <t>Een BP verkoopt op 26-6-2024 zijn eigen, enige woning voor 569000,00 euro</t>
  </si>
  <si>
    <t>daardoor is in dit geval de gerealiseerde meerwaarde niet belastbaar.</t>
  </si>
  <si>
    <t xml:space="preserve">Indien het een 2de woning zou zijn die hij verkoopt dan zou de gerealiseerde meerwaarde belast worden aan 16,5% </t>
  </si>
  <si>
    <t>Het bedrag zou moeten ingevuld worden dan in :</t>
  </si>
  <si>
    <t xml:space="preserve">de belasting zelf bedraagt : </t>
  </si>
  <si>
    <t>Vak XV code 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</si>
</sst>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  <xf numFmtId="14" fontId="0" fillId="0" borderId="0" xfId="0" applyNumberFormat="1"/>
    <xf numFmtId="2" fontId="5" fillId="0" borderId="0" xfId="0" applyNumberFormat="1" applyFont="1"/>
    <xf numFmtId="10" fontId="0" fillId="0" borderId="0" xfId="0" applyNumberFormat="1"/>
    <xf numFmtId="2" fontId="3" fillId="0" borderId="0" xfId="0" quotePrefix="1" applyNumberFormat="1" applyFont="1"/>
    <xf numFmtId="10" fontId="4" fillId="0" borderId="0" xfId="0" applyNumberFormat="1" applyFont="1"/>
    <xf numFmtId="0" fontId="0" fillId="2" borderId="0" xfId="0" applyFill="1"/>
    <xf numFmtId="0" fontId="0" fillId="0" borderId="0" xfId="0" quotePrefix="1"/>
    <xf numFmtId="9" fontId="0" fillId="0" borderId="0" xfId="0" applyNumberFormat="1"/>
    <xf numFmtId="2" fontId="7" fillId="0" borderId="0" xfId="0" applyNumberFormat="1" applyFont="1"/>
    <xf numFmtId="2" fontId="6" fillId="0" borderId="0" xfId="0" applyNumberFormat="1" applyFont="1"/>
    <xf numFmtId="0" fontId="8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11</xdr:row>
      <xdr:rowOff>22860</xdr:rowOff>
    </xdr:from>
    <xdr:to>
      <xdr:col>11</xdr:col>
      <xdr:colOff>482966</xdr:colOff>
      <xdr:row>26</xdr:row>
      <xdr:rowOff>4190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D050365F-339F-C3B1-BF66-06AF1CCE0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2034540"/>
          <a:ext cx="7173326" cy="2724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249786</xdr:colOff>
      <xdr:row>19</xdr:row>
      <xdr:rowOff>38100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3511996B-1DBD-B5D0-686B-6F29711F5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827625" cy="35128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410738</xdr:colOff>
      <xdr:row>23</xdr:row>
      <xdr:rowOff>99661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C6FA709A-27C7-B303-1B5A-8841839A2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35538" cy="4305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13</xdr:col>
      <xdr:colOff>163054</xdr:colOff>
      <xdr:row>53</xdr:row>
      <xdr:rowOff>145540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979351DB-FFFC-AFF1-926C-5CE706811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9120"/>
          <a:ext cx="8087854" cy="5449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11</xdr:col>
      <xdr:colOff>477252</xdr:colOff>
      <xdr:row>24</xdr:row>
      <xdr:rowOff>86056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C66D0607-CA87-0357-58F8-DB11F5C5F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0320"/>
          <a:ext cx="7182852" cy="237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0659-57D7-4ACB-83AD-26E8392011FF}">
  <dimension ref="A1:S23"/>
  <sheetViews>
    <sheetView workbookViewId="0">
      <selection activeCell="A9" sqref="A9"/>
    </sheetView>
  </sheetViews>
  <sheetFormatPr defaultRowHeight="14.4" x14ac:dyDescent="0.3"/>
  <cols>
    <col min="1" max="1" width="19.33203125" customWidth="1"/>
    <col min="5" max="5" width="14.6640625" customWidth="1"/>
    <col min="8" max="8" width="15.5546875" customWidth="1"/>
    <col min="11" max="11" width="10.44140625" customWidth="1"/>
  </cols>
  <sheetData>
    <row r="1" spans="1:19" ht="18" x14ac:dyDescent="0.35">
      <c r="A1" s="1" t="s">
        <v>18</v>
      </c>
      <c r="B1" s="1"/>
      <c r="C1" s="2"/>
      <c r="D1" s="2"/>
      <c r="E1" s="2"/>
      <c r="F1" s="2"/>
      <c r="G1" s="2"/>
      <c r="H1" s="2"/>
      <c r="I1" s="2"/>
      <c r="K1" s="4"/>
      <c r="O1" s="2"/>
      <c r="P1" s="2"/>
      <c r="Q1" s="2"/>
      <c r="R1" s="2"/>
    </row>
    <row r="2" spans="1:19" ht="18" x14ac:dyDescent="0.35">
      <c r="A2" s="2" t="s">
        <v>2</v>
      </c>
      <c r="B2" s="2"/>
      <c r="C2" s="5" t="s">
        <v>3</v>
      </c>
      <c r="D2" s="2"/>
      <c r="E2" s="2"/>
      <c r="F2" s="2"/>
      <c r="G2" s="2"/>
      <c r="H2" s="2"/>
      <c r="I2" s="2"/>
      <c r="J2" s="3" t="s">
        <v>0</v>
      </c>
      <c r="K2" s="2"/>
      <c r="L2" s="3">
        <v>2024</v>
      </c>
      <c r="M2" s="4" t="s">
        <v>1</v>
      </c>
      <c r="N2" s="3">
        <v>2025</v>
      </c>
      <c r="O2" s="2"/>
      <c r="P2" s="2"/>
      <c r="Q2" s="2"/>
      <c r="R2" s="2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 t="s">
        <v>19</v>
      </c>
      <c r="K3" s="2"/>
      <c r="L3" s="2"/>
      <c r="M3" s="2"/>
      <c r="N3" s="2"/>
      <c r="O3" s="2"/>
      <c r="P3" s="2"/>
      <c r="Q3" s="2"/>
      <c r="R3" s="2"/>
    </row>
    <row r="4" spans="1:19" x14ac:dyDescent="0.3">
      <c r="A4" s="2"/>
      <c r="B4" s="2"/>
      <c r="C4" s="2"/>
      <c r="D4" s="2"/>
      <c r="E4" s="6">
        <v>250000</v>
      </c>
      <c r="F4" s="2" t="s">
        <v>4</v>
      </c>
      <c r="G4" s="2"/>
      <c r="H4" s="7">
        <v>45413</v>
      </c>
      <c r="I4" s="2"/>
      <c r="J4" s="2" t="s">
        <v>17</v>
      </c>
      <c r="K4" s="2"/>
      <c r="L4" s="2"/>
      <c r="M4" s="2"/>
      <c r="N4" s="2"/>
      <c r="O4" s="2"/>
      <c r="P4" s="2"/>
      <c r="Q4" s="2"/>
      <c r="R4" s="2"/>
    </row>
    <row r="5" spans="1:19" x14ac:dyDescent="0.3">
      <c r="A5" s="2"/>
      <c r="B5" s="2"/>
      <c r="C5" s="2"/>
      <c r="D5" s="2"/>
      <c r="E5" s="2">
        <f>-H5*0.03</f>
        <v>-5400</v>
      </c>
      <c r="F5" s="5" t="s">
        <v>5</v>
      </c>
      <c r="G5" s="2"/>
      <c r="H5" s="2">
        <v>180000</v>
      </c>
      <c r="I5" s="2"/>
      <c r="J5" s="2" t="s">
        <v>21</v>
      </c>
      <c r="K5" s="2"/>
      <c r="L5" s="2"/>
      <c r="M5" s="2"/>
      <c r="N5" s="2"/>
      <c r="O5" s="2"/>
      <c r="P5" s="2"/>
      <c r="Q5" s="2"/>
      <c r="R5" s="2"/>
    </row>
    <row r="6" spans="1:19" x14ac:dyDescent="0.3">
      <c r="A6" s="2">
        <v>125000</v>
      </c>
      <c r="B6" s="5" t="s">
        <v>23</v>
      </c>
      <c r="C6" s="2"/>
      <c r="D6" s="2"/>
      <c r="E6" s="2">
        <f>SUM(E4:E5)</f>
        <v>244600</v>
      </c>
      <c r="F6" s="2"/>
      <c r="G6" s="2"/>
      <c r="H6" s="2"/>
      <c r="I6" s="2"/>
      <c r="J6" s="2" t="s">
        <v>6</v>
      </c>
      <c r="K6" s="2"/>
      <c r="L6" s="2"/>
      <c r="M6" s="2"/>
      <c r="N6" s="2"/>
      <c r="O6" s="2"/>
      <c r="P6" s="2"/>
      <c r="Q6" s="2"/>
      <c r="R6" s="2"/>
    </row>
    <row r="7" spans="1:19" x14ac:dyDescent="0.3">
      <c r="A7" s="8">
        <f>A6*25%</f>
        <v>31250</v>
      </c>
      <c r="B7" s="9">
        <v>0.25</v>
      </c>
      <c r="C7" s="2" t="s">
        <v>7</v>
      </c>
      <c r="D7" s="2"/>
      <c r="E7" s="2"/>
      <c r="F7" s="2"/>
      <c r="G7" s="2"/>
      <c r="H7" s="2"/>
      <c r="I7" s="2"/>
      <c r="J7" s="2" t="s">
        <v>22</v>
      </c>
      <c r="K7" s="2"/>
      <c r="L7" s="2"/>
      <c r="M7" s="2"/>
      <c r="N7" s="2"/>
      <c r="O7" s="2"/>
      <c r="P7" s="2"/>
      <c r="Q7" s="2"/>
      <c r="R7" s="2"/>
    </row>
    <row r="8" spans="1:19" x14ac:dyDescent="0.3">
      <c r="A8" s="2">
        <f>SUM(A6:A7)</f>
        <v>156250</v>
      </c>
      <c r="B8" s="2"/>
      <c r="C8" s="2"/>
      <c r="D8" s="2"/>
      <c r="E8" s="2"/>
      <c r="F8" s="2"/>
      <c r="G8" s="2"/>
      <c r="H8" s="2"/>
      <c r="I8" s="2"/>
      <c r="J8" s="2" t="s">
        <v>20</v>
      </c>
      <c r="K8" s="2"/>
      <c r="L8" s="2"/>
      <c r="M8" s="2"/>
      <c r="N8" s="2"/>
      <c r="O8" s="2"/>
      <c r="P8" s="2"/>
      <c r="Q8" s="2"/>
      <c r="R8" s="2"/>
    </row>
    <row r="9" spans="1:19" x14ac:dyDescent="0.3">
      <c r="A9" s="8">
        <f>A8*7*5%</f>
        <v>54687.5</v>
      </c>
      <c r="B9" s="10" t="s">
        <v>24</v>
      </c>
      <c r="C9" s="2"/>
      <c r="D9" s="2"/>
      <c r="E9" s="2"/>
      <c r="F9" s="2"/>
      <c r="G9" s="2"/>
      <c r="H9" s="2"/>
      <c r="I9" s="2"/>
      <c r="J9" s="2" t="s">
        <v>8</v>
      </c>
      <c r="K9" s="2"/>
      <c r="L9" s="2"/>
      <c r="M9" s="2"/>
      <c r="N9" s="2"/>
      <c r="O9" s="2"/>
      <c r="P9" s="2"/>
      <c r="Q9" s="2"/>
      <c r="R9" s="2"/>
    </row>
    <row r="10" spans="1:19" x14ac:dyDescent="0.3">
      <c r="A10" s="2">
        <f>SUM(A8:A9)</f>
        <v>210937.5</v>
      </c>
      <c r="B10" s="2"/>
      <c r="C10" s="2"/>
      <c r="D10" s="2"/>
      <c r="E10" s="8">
        <f>-A10</f>
        <v>-210937.5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3">
      <c r="A11" s="2"/>
      <c r="B11" s="2"/>
      <c r="C11" s="2"/>
      <c r="D11" s="2"/>
      <c r="E11" s="2">
        <f>SUM(E6:E10)</f>
        <v>33662.5</v>
      </c>
      <c r="F11" s="2"/>
      <c r="G11" s="2"/>
      <c r="H11" s="2"/>
      <c r="I11" s="2"/>
      <c r="J11" s="2" t="s">
        <v>9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3">
      <c r="A13" s="6" t="s">
        <v>10</v>
      </c>
      <c r="B13" s="2"/>
      <c r="C13" s="2"/>
      <c r="D13" s="2"/>
      <c r="E13" s="2">
        <f>E11</f>
        <v>33662.5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3">
      <c r="A15" s="5" t="s">
        <v>11</v>
      </c>
      <c r="B15" s="2"/>
      <c r="C15" s="11">
        <v>0.16500000000000001</v>
      </c>
      <c r="D15" s="10" t="s">
        <v>12</v>
      </c>
      <c r="E15" s="5" t="s">
        <v>13</v>
      </c>
      <c r="F15" s="2">
        <f>E13*C15</f>
        <v>5554.3125</v>
      </c>
      <c r="G15" s="2"/>
      <c r="H15" s="2"/>
      <c r="I15" s="2"/>
      <c r="J15" s="2" t="s">
        <v>14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3">
      <c r="A16" s="2"/>
      <c r="B16" s="2"/>
      <c r="C16" s="2"/>
      <c r="D16" s="2"/>
      <c r="E16" s="2"/>
      <c r="F16" s="2"/>
      <c r="G16" s="2"/>
      <c r="H16" s="2"/>
      <c r="I16" s="2"/>
      <c r="J16" s="2" t="s">
        <v>15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3">
      <c r="A17" s="2"/>
      <c r="B17" s="2"/>
      <c r="C17" s="2"/>
      <c r="D17" s="2"/>
      <c r="E17" s="2"/>
      <c r="F17" s="2"/>
      <c r="G17" s="2"/>
      <c r="H17" s="2"/>
      <c r="I17" s="2"/>
      <c r="J17" s="2" t="s">
        <v>16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CC99-45CB-4F92-A266-22C377BC00D1}">
  <dimension ref="A1:I10"/>
  <sheetViews>
    <sheetView workbookViewId="0">
      <selection activeCell="N15" sqref="N15"/>
    </sheetView>
  </sheetViews>
  <sheetFormatPr defaultRowHeight="14.4" x14ac:dyDescent="0.3"/>
  <sheetData>
    <row r="1" spans="1:9" x14ac:dyDescent="0.3">
      <c r="A1" s="12" t="s">
        <v>25</v>
      </c>
    </row>
    <row r="2" spans="1:9" x14ac:dyDescent="0.3">
      <c r="A2" s="12" t="s">
        <v>26</v>
      </c>
    </row>
    <row r="4" spans="1:9" x14ac:dyDescent="0.3">
      <c r="A4" t="s">
        <v>28</v>
      </c>
    </row>
    <row r="5" spans="1:9" x14ac:dyDescent="0.3">
      <c r="A5" t="s">
        <v>27</v>
      </c>
    </row>
    <row r="6" spans="1:9" x14ac:dyDescent="0.3">
      <c r="A6" t="s">
        <v>30</v>
      </c>
    </row>
    <row r="8" spans="1:9" x14ac:dyDescent="0.3">
      <c r="A8" t="s">
        <v>34</v>
      </c>
      <c r="I8" t="s">
        <v>31</v>
      </c>
    </row>
    <row r="9" spans="1:9" x14ac:dyDescent="0.3">
      <c r="I9" t="s">
        <v>32</v>
      </c>
    </row>
    <row r="10" spans="1:9" x14ac:dyDescent="0.3">
      <c r="A10" t="s">
        <v>29</v>
      </c>
      <c r="I10" t="s">
        <v>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7F12-08D2-4961-B9B3-11AD4B66FAB9}">
  <dimension ref="A22:M35"/>
  <sheetViews>
    <sheetView workbookViewId="0">
      <selection activeCell="O21" sqref="O21"/>
    </sheetView>
  </sheetViews>
  <sheetFormatPr defaultRowHeight="14.4" x14ac:dyDescent="0.3"/>
  <cols>
    <col min="2" max="2" width="9.5546875" style="2" bestFit="1" customWidth="1"/>
    <col min="7" max="7" width="9.5546875" style="2" bestFit="1" customWidth="1"/>
  </cols>
  <sheetData>
    <row r="22" spans="2:8" x14ac:dyDescent="0.3">
      <c r="B22" s="2" t="s">
        <v>35</v>
      </c>
      <c r="G22" s="2" t="s">
        <v>36</v>
      </c>
    </row>
    <row r="23" spans="2:8" x14ac:dyDescent="0.3">
      <c r="G23" s="2">
        <v>120000</v>
      </c>
    </row>
    <row r="24" spans="2:8" x14ac:dyDescent="0.3">
      <c r="G24" s="15">
        <v>-3600</v>
      </c>
      <c r="H24" s="13" t="s">
        <v>37</v>
      </c>
    </row>
    <row r="25" spans="2:8" x14ac:dyDescent="0.3">
      <c r="G25" s="16">
        <f>G23+G24</f>
        <v>116400</v>
      </c>
    </row>
    <row r="27" spans="2:8" x14ac:dyDescent="0.3">
      <c r="B27" s="2">
        <v>70000</v>
      </c>
    </row>
    <row r="28" spans="2:8" x14ac:dyDescent="0.3">
      <c r="B28" s="15">
        <f>B27*C28</f>
        <v>17500</v>
      </c>
      <c r="C28" s="14">
        <v>0.25</v>
      </c>
    </row>
    <row r="29" spans="2:8" x14ac:dyDescent="0.3">
      <c r="B29" s="2">
        <f>B27+B28</f>
        <v>87500</v>
      </c>
    </row>
    <row r="30" spans="2:8" x14ac:dyDescent="0.3">
      <c r="B30" s="15">
        <f>B29*D31</f>
        <v>21875</v>
      </c>
      <c r="C30" s="13" t="s">
        <v>38</v>
      </c>
    </row>
    <row r="31" spans="2:8" x14ac:dyDescent="0.3">
      <c r="C31" s="13" t="s">
        <v>39</v>
      </c>
      <c r="D31" s="14">
        <v>0.25</v>
      </c>
    </row>
    <row r="32" spans="2:8" x14ac:dyDescent="0.3">
      <c r="B32" s="16">
        <f>B29+B30</f>
        <v>109375</v>
      </c>
    </row>
    <row r="35" spans="1:13" x14ac:dyDescent="0.3">
      <c r="A35" t="s">
        <v>40</v>
      </c>
      <c r="C35">
        <f>G25</f>
        <v>116400</v>
      </c>
      <c r="D35" s="13" t="s">
        <v>41</v>
      </c>
      <c r="E35">
        <f>B32</f>
        <v>109375</v>
      </c>
      <c r="G35" s="2">
        <f>C35-E35</f>
        <v>7025</v>
      </c>
      <c r="J35" t="s">
        <v>51</v>
      </c>
      <c r="M35" s="12">
        <f>G35*16.5%</f>
        <v>1159.125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0E7D-C0AC-4C57-8B60-5F2B785E08EF}">
  <dimension ref="A1"/>
  <sheetViews>
    <sheetView workbookViewId="0">
      <selection activeCell="S18" sqref="S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8D78-8409-40C0-9E93-48C95A4E43FC}">
  <dimension ref="A1:A13"/>
  <sheetViews>
    <sheetView tabSelected="1" topLeftCell="A2" workbookViewId="0">
      <selection activeCell="A14" sqref="A14"/>
    </sheetView>
  </sheetViews>
  <sheetFormatPr defaultRowHeight="18" x14ac:dyDescent="0.35"/>
  <cols>
    <col min="1" max="16384" width="8.88671875" style="17"/>
  </cols>
  <sheetData>
    <row r="1" spans="1:1" x14ac:dyDescent="0.35">
      <c r="A1" s="3" t="s">
        <v>43</v>
      </c>
    </row>
    <row r="2" spans="1:1" x14ac:dyDescent="0.35">
      <c r="A2" s="17" t="s">
        <v>47</v>
      </c>
    </row>
    <row r="3" spans="1:1" x14ac:dyDescent="0.35">
      <c r="A3" s="17" t="s">
        <v>42</v>
      </c>
    </row>
    <row r="5" spans="1:1" x14ac:dyDescent="0.35">
      <c r="A5" s="3" t="s">
        <v>44</v>
      </c>
    </row>
    <row r="7" spans="1:1" x14ac:dyDescent="0.35">
      <c r="A7" s="3" t="s">
        <v>45</v>
      </c>
    </row>
    <row r="8" spans="1:1" x14ac:dyDescent="0.35">
      <c r="A8" s="17" t="s">
        <v>46</v>
      </c>
    </row>
    <row r="9" spans="1:1" x14ac:dyDescent="0.35">
      <c r="A9" s="17" t="s">
        <v>48</v>
      </c>
    </row>
    <row r="11" spans="1:1" x14ac:dyDescent="0.35">
      <c r="A11" s="17" t="s">
        <v>49</v>
      </c>
    </row>
    <row r="12" spans="1:1" x14ac:dyDescent="0.35">
      <c r="A12" s="17" t="s">
        <v>50</v>
      </c>
    </row>
    <row r="13" spans="1:1" x14ac:dyDescent="0.35">
      <c r="A13" s="3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oef 1</vt:lpstr>
      <vt:lpstr>oef 2</vt:lpstr>
      <vt:lpstr>oef 3</vt:lpstr>
      <vt:lpstr>oef 4</vt:lpstr>
      <vt:lpstr>oef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Elke De Blauwe</dc:creator>
  <cp:lastModifiedBy>Elke De Blauwe</cp:lastModifiedBy>
  <dcterms:created xsi:type="dcterms:W3CDTF">2026-04-05T02:46:15Z</dcterms:created>
  <dcterms:modified xsi:type="dcterms:W3CDTF">2026-04-06T06:07:17Z</dcterms:modified>
</cp:coreProperties>
</file>